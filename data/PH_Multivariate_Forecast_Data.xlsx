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tglbuc-my.sharepoint.com/personal/chiahong_lee_kantar_com/Documents/Dashboards 130225/Posit Connect Cloud Test/PH 25P13 Simulator - Cash Remittances/data/"/>
    </mc:Choice>
  </mc:AlternateContent>
  <xr:revisionPtr revIDLastSave="91" documentId="13_ncr:1_{D87E483D-DC13-4717-B790-867FC2DA5E37}" xr6:coauthVersionLast="47" xr6:coauthVersionMax="47" xr10:uidLastSave="{C6A99D97-69D3-4D4F-8818-CC2C6B2C7696}"/>
  <bookViews>
    <workbookView xWindow="-110" yWindow="-110" windowWidth="19420" windowHeight="11500" xr2:uid="{AF3ACD61-AA58-4A22-A1E4-FA2B0EDB5D6B}"/>
  </bookViews>
  <sheets>
    <sheet name="PH" sheetId="12" r:id="rId1"/>
    <sheet name="PH_Input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0" l="1"/>
  <c r="B7" i="10"/>
  <c r="C7" i="10" s="1"/>
  <c r="E6" i="10"/>
  <c r="B6" i="10"/>
  <c r="C6" i="10" s="1"/>
  <c r="E5" i="10"/>
  <c r="B5" i="10"/>
  <c r="C5" i="10" s="1"/>
  <c r="E4" i="10"/>
  <c r="B4" i="10"/>
  <c r="C4" i="10" s="1"/>
  <c r="E3" i="10"/>
  <c r="B3" i="10"/>
  <c r="C3" i="10" s="1"/>
  <c r="E2" i="10"/>
  <c r="B2" i="10"/>
  <c r="C2" i="10" s="1"/>
</calcChain>
</file>

<file path=xl/sharedStrings.xml><?xml version="1.0" encoding="utf-8"?>
<sst xmlns="http://schemas.openxmlformats.org/spreadsheetml/2006/main" count="188" uniqueCount="34">
  <si>
    <t>year</t>
  </si>
  <si>
    <t>qtr</t>
  </si>
  <si>
    <t>CCI</t>
  </si>
  <si>
    <t>Consumer spending</t>
  </si>
  <si>
    <t>GDP growth rate</t>
  </si>
  <si>
    <t>Q1</t>
  </si>
  <si>
    <t>Q2</t>
  </si>
  <si>
    <t>Q3</t>
  </si>
  <si>
    <t>Q4</t>
  </si>
  <si>
    <t>Reduced</t>
  </si>
  <si>
    <t>Slightly Reduced</t>
  </si>
  <si>
    <t>Status Quo</t>
  </si>
  <si>
    <t>Slightly Increased</t>
  </si>
  <si>
    <t>Increased</t>
  </si>
  <si>
    <t>half</t>
  </si>
  <si>
    <t>H1</t>
  </si>
  <si>
    <t>H2</t>
  </si>
  <si>
    <t>Season</t>
  </si>
  <si>
    <t>mmm</t>
  </si>
  <si>
    <t>Inflation</t>
  </si>
  <si>
    <t>FoodCPI</t>
  </si>
  <si>
    <t>IN-HOME FMCG</t>
  </si>
  <si>
    <t>PACKAGED GROCERY</t>
  </si>
  <si>
    <t>PERSONAL CARE</t>
  </si>
  <si>
    <t>HOME CARE</t>
  </si>
  <si>
    <t>SES HIGH</t>
  </si>
  <si>
    <t>SES MEDIUM</t>
  </si>
  <si>
    <t>SES LOW</t>
  </si>
  <si>
    <t>GDP Abs</t>
  </si>
  <si>
    <t>Food Inflation</t>
  </si>
  <si>
    <t>Philippines</t>
  </si>
  <si>
    <t>BEVERAGES</t>
  </si>
  <si>
    <t>DAIRY</t>
  </si>
  <si>
    <t>Cash Remittances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</si>
</sst>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3" fillId="0" borderId="0"/>
  </cellStyleXfs>
  <cellXfs count="1">
    <xf numFmtId="0" fontId="0" fillId="0" borderId="0" xfId="0"/>
  </cellXfs>
  <cellStyles count="4">
    <cellStyle name="Normal" xfId="0" builtinId="0"/>
    <cellStyle name="Normal 2" xfId="3" xr:uid="{AE94D23A-993A-43D0-BA67-641BAAC5F414}"/>
    <cellStyle name="Normal 2 2" xfId="1" xr:uid="{D7688C29-0B0A-4B16-9F4B-7B24F4B39816}"/>
    <cellStyle name="Normal 2 3" xfId="2" xr:uid="{6E3FBA05-278A-43F4-9F94-ECE347BB98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CD05-E124-440B-930A-D0E24AC2CEC2}">
  <dimension ref="A1:T79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bestFit="1" customWidth="1"/>
    <col min="2" max="2" width="3.54296875" bestFit="1" customWidth="1"/>
    <col min="3" max="3" width="4.453125" bestFit="1" customWidth="1"/>
    <col min="4" max="4" width="7.26953125" bestFit="1" customWidth="1"/>
    <col min="5" max="5" width="6.1796875" bestFit="1" customWidth="1"/>
    <col min="6" max="6" width="12.7265625" bestFit="1" customWidth="1"/>
    <col min="7" max="7" width="16.7265625" bestFit="1" customWidth="1"/>
    <col min="8" max="8" width="18.81640625" bestFit="1" customWidth="1"/>
    <col min="9" max="9" width="15.54296875" bestFit="1" customWidth="1"/>
    <col min="10" max="10" width="12" bestFit="1" customWidth="1"/>
    <col min="11" max="11" width="13.54296875" bestFit="1" customWidth="1"/>
    <col min="12" max="12" width="14.81640625" bestFit="1" customWidth="1"/>
    <col min="13" max="13" width="12" bestFit="1" customWidth="1"/>
    <col min="14" max="14" width="12" customWidth="1"/>
    <col min="15" max="15" width="19.453125" bestFit="1" customWidth="1"/>
    <col min="16" max="16" width="15.453125" bestFit="1" customWidth="1"/>
    <col min="17" max="20" width="12" bestFit="1" customWidth="1"/>
  </cols>
  <sheetData>
    <row r="1" spans="1:20" x14ac:dyDescent="0.35">
      <c r="A1" t="s">
        <v>0</v>
      </c>
      <c r="B1" t="s">
        <v>1</v>
      </c>
      <c r="C1" t="s">
        <v>14</v>
      </c>
      <c r="D1" t="s">
        <v>17</v>
      </c>
      <c r="E1" t="s">
        <v>18</v>
      </c>
      <c r="F1" t="s">
        <v>2</v>
      </c>
      <c r="G1" t="s">
        <v>33</v>
      </c>
      <c r="H1" t="s">
        <v>3</v>
      </c>
      <c r="I1" t="s">
        <v>4</v>
      </c>
      <c r="J1" t="s">
        <v>19</v>
      </c>
      <c r="K1" t="s">
        <v>29</v>
      </c>
      <c r="L1" t="s">
        <v>21</v>
      </c>
      <c r="M1" t="s">
        <v>31</v>
      </c>
      <c r="N1" t="s">
        <v>32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 spans="1:20" x14ac:dyDescent="0.35">
      <c r="A2">
        <v>2021</v>
      </c>
      <c r="B2" t="s">
        <v>5</v>
      </c>
      <c r="C2" t="s">
        <v>15</v>
      </c>
      <c r="D2">
        <v>1</v>
      </c>
      <c r="E2">
        <v>1</v>
      </c>
      <c r="F2">
        <v>-42.812080058989203</v>
      </c>
      <c r="G2">
        <v>2602547.2000000002</v>
      </c>
      <c r="H2">
        <v>3557497.8251098501</v>
      </c>
      <c r="I2">
        <v>103.37358118704962</v>
      </c>
      <c r="J2">
        <v>3.7</v>
      </c>
      <c r="K2">
        <v>5.9</v>
      </c>
      <c r="L2">
        <v>1502.79170800528</v>
      </c>
      <c r="M2">
        <v>314.85069799391994</v>
      </c>
      <c r="N2">
        <v>214.96885174127999</v>
      </c>
      <c r="O2">
        <v>632.03161735859203</v>
      </c>
      <c r="P2">
        <v>207.18385891008</v>
      </c>
      <c r="Q2">
        <v>133.75668200140802</v>
      </c>
      <c r="R2">
        <v>113.48367120793016</v>
      </c>
      <c r="S2">
        <v>220.46889941306361</v>
      </c>
      <c r="T2">
        <v>1168.8258060170065</v>
      </c>
    </row>
    <row r="3" spans="1:20" x14ac:dyDescent="0.35">
      <c r="A3">
        <v>2021</v>
      </c>
      <c r="B3" t="s">
        <v>5</v>
      </c>
      <c r="C3" t="s">
        <v>15</v>
      </c>
      <c r="D3">
        <v>0</v>
      </c>
      <c r="E3">
        <v>2</v>
      </c>
      <c r="F3">
        <v>-38.105447021943199</v>
      </c>
      <c r="G3">
        <v>2477282</v>
      </c>
      <c r="H3">
        <v>3347443.5745881</v>
      </c>
      <c r="I3">
        <v>102.17483971834451</v>
      </c>
      <c r="J3">
        <v>4.2</v>
      </c>
      <c r="K3">
        <v>6.2</v>
      </c>
      <c r="L3">
        <v>1223.843141707408</v>
      </c>
      <c r="M3">
        <v>253.68219763200003</v>
      </c>
      <c r="N3">
        <v>205.61962604006402</v>
      </c>
      <c r="O3">
        <v>533.57912957148801</v>
      </c>
      <c r="P3">
        <v>141.5362668703936</v>
      </c>
      <c r="Q3">
        <v>89.425921593462405</v>
      </c>
      <c r="R3">
        <v>78.74959632635607</v>
      </c>
      <c r="S3">
        <v>171.0393433526236</v>
      </c>
      <c r="T3">
        <v>974.04344136725558</v>
      </c>
    </row>
    <row r="4" spans="1:20" x14ac:dyDescent="0.35">
      <c r="A4">
        <v>2021</v>
      </c>
      <c r="B4" t="s">
        <v>5</v>
      </c>
      <c r="C4" t="s">
        <v>15</v>
      </c>
      <c r="D4">
        <v>0</v>
      </c>
      <c r="E4">
        <v>3</v>
      </c>
      <c r="F4">
        <v>-34.700000000000003</v>
      </c>
      <c r="G4">
        <v>2514296.9</v>
      </c>
      <c r="H4">
        <v>3156809.4</v>
      </c>
      <c r="I4">
        <v>101.16266940000001</v>
      </c>
      <c r="J4">
        <v>4.0999999999999996</v>
      </c>
      <c r="K4">
        <v>5.3</v>
      </c>
      <c r="L4">
        <v>1521.9250489208864</v>
      </c>
      <c r="M4">
        <v>331.994060859456</v>
      </c>
      <c r="N4">
        <v>201.95454486048001</v>
      </c>
      <c r="O4">
        <v>621.18517033622402</v>
      </c>
      <c r="P4">
        <v>220.48303792000002</v>
      </c>
      <c r="Q4">
        <v>146.30823494472639</v>
      </c>
      <c r="R4">
        <v>111.64301433493954</v>
      </c>
      <c r="S4">
        <v>229.70724174057065</v>
      </c>
      <c r="T4">
        <v>1180.56129174493</v>
      </c>
    </row>
    <row r="5" spans="1:20" x14ac:dyDescent="0.35">
      <c r="A5">
        <v>2021</v>
      </c>
      <c r="B5" t="s">
        <v>6</v>
      </c>
      <c r="C5" t="s">
        <v>15</v>
      </c>
      <c r="D5">
        <v>0</v>
      </c>
      <c r="E5">
        <v>4</v>
      </c>
      <c r="F5">
        <v>-33.123424543698697</v>
      </c>
      <c r="G5">
        <v>2305150.7000000002</v>
      </c>
      <c r="H5">
        <v>3088393.8770778398</v>
      </c>
      <c r="I5">
        <v>100.43058806734058</v>
      </c>
      <c r="J5">
        <v>4.0999999999999996</v>
      </c>
      <c r="K5">
        <v>3.8</v>
      </c>
      <c r="L5">
        <v>1518.2377834448639</v>
      </c>
      <c r="M5">
        <v>316.60155101145597</v>
      </c>
      <c r="N5">
        <v>194.03438002816</v>
      </c>
      <c r="O5">
        <v>626.09987062886398</v>
      </c>
      <c r="P5">
        <v>218.111560636864</v>
      </c>
      <c r="Q5">
        <v>163.39042113952002</v>
      </c>
      <c r="R5">
        <v>112.30734153507302</v>
      </c>
      <c r="S5">
        <v>222.38795451525212</v>
      </c>
      <c r="T5">
        <v>1183.5289711215582</v>
      </c>
    </row>
    <row r="6" spans="1:20" x14ac:dyDescent="0.35">
      <c r="A6">
        <v>2021</v>
      </c>
      <c r="B6" t="s">
        <v>6</v>
      </c>
      <c r="C6" t="s">
        <v>15</v>
      </c>
      <c r="D6">
        <v>0</v>
      </c>
      <c r="E6">
        <v>5</v>
      </c>
      <c r="F6">
        <v>-32.3345519611836</v>
      </c>
      <c r="G6">
        <v>2382115.2999999998</v>
      </c>
      <c r="H6">
        <v>3103988.0782220298</v>
      </c>
      <c r="I6">
        <v>99.418095112976289</v>
      </c>
      <c r="J6">
        <v>4.0999999999999996</v>
      </c>
      <c r="K6">
        <v>3.5</v>
      </c>
      <c r="L6">
        <v>1413.6992567936961</v>
      </c>
      <c r="M6">
        <v>311.32672271209606</v>
      </c>
      <c r="N6">
        <v>196.11091559404801</v>
      </c>
      <c r="O6">
        <v>577.63373995692803</v>
      </c>
      <c r="P6">
        <v>209.48081799456</v>
      </c>
      <c r="Q6">
        <v>119.14706053606402</v>
      </c>
      <c r="R6">
        <v>103.37140556113914</v>
      </c>
      <c r="S6">
        <v>197.93667876266767</v>
      </c>
      <c r="T6">
        <v>1112.3786155974524</v>
      </c>
    </row>
    <row r="7" spans="1:20" x14ac:dyDescent="0.35">
      <c r="A7">
        <v>2021</v>
      </c>
      <c r="B7" t="s">
        <v>6</v>
      </c>
      <c r="C7" t="s">
        <v>15</v>
      </c>
      <c r="D7">
        <v>0</v>
      </c>
      <c r="E7">
        <v>6</v>
      </c>
      <c r="F7">
        <v>-30.9</v>
      </c>
      <c r="G7">
        <v>2637941.7000000002</v>
      </c>
      <c r="H7">
        <v>3130131.2</v>
      </c>
      <c r="I7">
        <v>98.28403200000001</v>
      </c>
      <c r="J7">
        <v>3.7</v>
      </c>
      <c r="K7">
        <v>3.6</v>
      </c>
      <c r="L7">
        <v>1421.7496553265278</v>
      </c>
      <c r="M7">
        <v>332.22617541695996</v>
      </c>
      <c r="N7">
        <v>188.631204610624</v>
      </c>
      <c r="O7">
        <v>582.32116840102401</v>
      </c>
      <c r="P7">
        <v>197.551820809216</v>
      </c>
      <c r="Q7">
        <v>121.01928608870399</v>
      </c>
      <c r="R7">
        <v>100.10438333638497</v>
      </c>
      <c r="S7">
        <v>199.58839961073889</v>
      </c>
      <c r="T7">
        <v>1122.0443710844236</v>
      </c>
    </row>
    <row r="8" spans="1:20" x14ac:dyDescent="0.35">
      <c r="A8">
        <v>2021</v>
      </c>
      <c r="B8" t="s">
        <v>7</v>
      </c>
      <c r="C8" t="s">
        <v>16</v>
      </c>
      <c r="D8">
        <v>0</v>
      </c>
      <c r="E8">
        <v>7</v>
      </c>
      <c r="F8">
        <v>-27.843615262076401</v>
      </c>
      <c r="G8">
        <v>2864440.6933693802</v>
      </c>
      <c r="H8">
        <v>3114840.1885917098</v>
      </c>
      <c r="I8">
        <v>97.777545633285641</v>
      </c>
      <c r="J8">
        <v>3.4200813674315498</v>
      </c>
      <c r="K8">
        <v>3.3311597073772998</v>
      </c>
      <c r="L8">
        <v>1474.9963885236737</v>
      </c>
      <c r="M8">
        <v>302.23902854534396</v>
      </c>
      <c r="N8">
        <v>202.73500918323199</v>
      </c>
      <c r="O8">
        <v>621.84564189011201</v>
      </c>
      <c r="P8">
        <v>195.723138154048</v>
      </c>
      <c r="Q8">
        <v>152.45357075093759</v>
      </c>
      <c r="R8">
        <v>105.81202973832399</v>
      </c>
      <c r="S8">
        <v>224.78789067508603</v>
      </c>
      <c r="T8">
        <v>1144.3832912024795</v>
      </c>
    </row>
    <row r="9" spans="1:20" x14ac:dyDescent="0.35">
      <c r="A9">
        <v>2021</v>
      </c>
      <c r="B9" t="s">
        <v>7</v>
      </c>
      <c r="C9" t="s">
        <v>16</v>
      </c>
      <c r="D9">
        <v>0</v>
      </c>
      <c r="E9">
        <v>8</v>
      </c>
      <c r="F9">
        <v>-24.018159766873001</v>
      </c>
      <c r="G9">
        <v>2853023.4</v>
      </c>
      <c r="H9">
        <v>3092042.9886272098</v>
      </c>
      <c r="I9">
        <v>98.109469407519001</v>
      </c>
      <c r="J9">
        <v>3.7</v>
      </c>
      <c r="K9">
        <v>3.9</v>
      </c>
      <c r="L9">
        <v>1767.432763928656</v>
      </c>
      <c r="M9">
        <v>372.67306502246402</v>
      </c>
      <c r="N9">
        <v>265.2089271264</v>
      </c>
      <c r="O9">
        <v>797.28719026880003</v>
      </c>
      <c r="P9">
        <v>196.74028018278398</v>
      </c>
      <c r="Q9">
        <v>135.52330132820799</v>
      </c>
      <c r="R9">
        <v>142.63838693038713</v>
      </c>
      <c r="S9">
        <v>271.5825072470015</v>
      </c>
      <c r="T9">
        <v>1353.1961907352115</v>
      </c>
    </row>
    <row r="10" spans="1:20" x14ac:dyDescent="0.35">
      <c r="A10">
        <v>2021</v>
      </c>
      <c r="B10" t="s">
        <v>7</v>
      </c>
      <c r="C10" t="s">
        <v>16</v>
      </c>
      <c r="D10">
        <v>0</v>
      </c>
      <c r="E10">
        <v>9</v>
      </c>
      <c r="F10">
        <v>-20.733624388233199</v>
      </c>
      <c r="G10">
        <v>2608916.2000000002</v>
      </c>
      <c r="H10">
        <v>3117145.29434912</v>
      </c>
      <c r="I10">
        <v>99.069567018281973</v>
      </c>
      <c r="J10">
        <v>4.4000000000000004</v>
      </c>
      <c r="K10">
        <v>5.6</v>
      </c>
      <c r="L10">
        <v>1159.7108186920159</v>
      </c>
      <c r="M10">
        <v>238.02201313344003</v>
      </c>
      <c r="N10">
        <v>193.88098609459198</v>
      </c>
      <c r="O10">
        <v>460.429404715712</v>
      </c>
      <c r="P10">
        <v>173.38884940185599</v>
      </c>
      <c r="Q10">
        <v>93.989565346415986</v>
      </c>
      <c r="R10">
        <v>77.749264083214356</v>
      </c>
      <c r="S10">
        <v>155.66166682714487</v>
      </c>
      <c r="T10">
        <v>926.28945586350926</v>
      </c>
    </row>
    <row r="11" spans="1:20" x14ac:dyDescent="0.35">
      <c r="A11">
        <v>2021</v>
      </c>
      <c r="B11" t="s">
        <v>7</v>
      </c>
      <c r="C11" t="s">
        <v>16</v>
      </c>
      <c r="D11">
        <v>0</v>
      </c>
      <c r="E11">
        <v>10</v>
      </c>
      <c r="F11">
        <v>-19.3</v>
      </c>
      <c r="G11">
        <v>2736862.4</v>
      </c>
      <c r="H11">
        <v>3245552.8</v>
      </c>
      <c r="I11">
        <v>100.547044</v>
      </c>
      <c r="J11">
        <v>4.2</v>
      </c>
      <c r="K11">
        <v>5</v>
      </c>
      <c r="L11">
        <v>1465.2177438569727</v>
      </c>
      <c r="M11">
        <v>307.55547889113598</v>
      </c>
      <c r="N11">
        <v>226.58024838156797</v>
      </c>
      <c r="O11">
        <v>585.53511832499191</v>
      </c>
      <c r="P11">
        <v>219.19085166572796</v>
      </c>
      <c r="Q11">
        <v>126.3560465935488</v>
      </c>
      <c r="R11">
        <v>98.686819996603631</v>
      </c>
      <c r="S11">
        <v>214.05440062493227</v>
      </c>
      <c r="T11">
        <v>1152.4634613632406</v>
      </c>
    </row>
    <row r="12" spans="1:20" x14ac:dyDescent="0.35">
      <c r="A12">
        <v>2021</v>
      </c>
      <c r="B12" t="s">
        <v>8</v>
      </c>
      <c r="C12" t="s">
        <v>16</v>
      </c>
      <c r="D12">
        <v>0</v>
      </c>
      <c r="E12">
        <v>11</v>
      </c>
      <c r="F12">
        <v>-20.464147790232602</v>
      </c>
      <c r="G12">
        <v>2812044</v>
      </c>
      <c r="H12">
        <v>3500003.060602</v>
      </c>
      <c r="I12">
        <v>102.53234775287645</v>
      </c>
      <c r="J12">
        <v>4</v>
      </c>
      <c r="K12">
        <v>3.7</v>
      </c>
      <c r="L12">
        <v>1599.2963812342687</v>
      </c>
      <c r="M12">
        <v>331.94659329356801</v>
      </c>
      <c r="N12">
        <v>216.28631206656001</v>
      </c>
      <c r="O12">
        <v>688.54699405273595</v>
      </c>
      <c r="P12">
        <v>216.36527978588802</v>
      </c>
      <c r="Q12">
        <v>146.1512020355168</v>
      </c>
      <c r="R12">
        <v>116.35884150843994</v>
      </c>
      <c r="S12">
        <v>238.91293493949229</v>
      </c>
      <c r="T12">
        <v>1244.0103851511265</v>
      </c>
    </row>
    <row r="13" spans="1:20" x14ac:dyDescent="0.35">
      <c r="A13">
        <v>2021</v>
      </c>
      <c r="B13" t="s">
        <v>8</v>
      </c>
      <c r="C13" t="s">
        <v>16</v>
      </c>
      <c r="D13">
        <v>0</v>
      </c>
      <c r="E13">
        <v>12</v>
      </c>
      <c r="F13">
        <v>-22.720410203853199</v>
      </c>
      <c r="G13">
        <v>2501820.2999999998</v>
      </c>
      <c r="H13">
        <v>3772561.0742953899</v>
      </c>
      <c r="I13">
        <v>104.47964475249509</v>
      </c>
      <c r="J13">
        <v>3.7</v>
      </c>
      <c r="K13">
        <v>2.2000000000000002</v>
      </c>
      <c r="L13">
        <v>1457.8286153388322</v>
      </c>
      <c r="M13">
        <v>303.27550533760001</v>
      </c>
      <c r="N13">
        <v>220.676598381888</v>
      </c>
      <c r="O13">
        <v>627.56486854655986</v>
      </c>
      <c r="P13">
        <v>187.62136722668799</v>
      </c>
      <c r="Q13">
        <v>118.690275846096</v>
      </c>
      <c r="R13">
        <v>100.07695219797189</v>
      </c>
      <c r="S13">
        <v>197.26955960657591</v>
      </c>
      <c r="T13">
        <v>1160.469222088605</v>
      </c>
    </row>
    <row r="14" spans="1:20" x14ac:dyDescent="0.35">
      <c r="A14">
        <v>2021</v>
      </c>
      <c r="B14" t="s">
        <v>8</v>
      </c>
      <c r="C14" t="s">
        <v>16</v>
      </c>
      <c r="D14">
        <v>1</v>
      </c>
      <c r="E14">
        <v>13</v>
      </c>
      <c r="F14">
        <v>-24</v>
      </c>
      <c r="G14">
        <v>2987114.5</v>
      </c>
      <c r="H14">
        <v>3922623.7</v>
      </c>
      <c r="I14">
        <v>105.58964520000001</v>
      </c>
      <c r="J14">
        <v>3.1</v>
      </c>
      <c r="K14">
        <v>1.6</v>
      </c>
      <c r="L14">
        <v>1413.8436218255679</v>
      </c>
      <c r="M14">
        <v>296.57335665878401</v>
      </c>
      <c r="N14">
        <v>198.25819619392001</v>
      </c>
      <c r="O14">
        <v>573.95027632307199</v>
      </c>
      <c r="P14">
        <v>210.23569441711999</v>
      </c>
      <c r="Q14">
        <v>134.82609823267202</v>
      </c>
      <c r="R14">
        <v>97.859478235262131</v>
      </c>
      <c r="S14">
        <v>207.7945746712775</v>
      </c>
      <c r="T14">
        <v>1108.1771255021745</v>
      </c>
    </row>
    <row r="15" spans="1:20" x14ac:dyDescent="0.35">
      <c r="A15">
        <v>2022</v>
      </c>
      <c r="B15" t="s">
        <v>5</v>
      </c>
      <c r="C15" t="s">
        <v>15</v>
      </c>
      <c r="D15">
        <v>1</v>
      </c>
      <c r="E15">
        <v>1</v>
      </c>
      <c r="F15">
        <v>-22.745579520219302</v>
      </c>
      <c r="G15">
        <v>2668183.7000000002</v>
      </c>
      <c r="H15">
        <v>3855523.8100290098</v>
      </c>
      <c r="I15">
        <v>111.96135073316749</v>
      </c>
      <c r="J15">
        <v>3</v>
      </c>
      <c r="K15">
        <v>1.7</v>
      </c>
      <c r="L15">
        <v>1508.0266323828096</v>
      </c>
      <c r="M15">
        <v>346.860289987584</v>
      </c>
      <c r="N15">
        <v>200.37526802940798</v>
      </c>
      <c r="O15">
        <v>609.55722732275206</v>
      </c>
      <c r="P15">
        <v>215.73631920713601</v>
      </c>
      <c r="Q15">
        <v>135.49752783592959</v>
      </c>
      <c r="R15">
        <v>105.74298957646481</v>
      </c>
      <c r="S15">
        <v>220.97753124147061</v>
      </c>
      <c r="T15">
        <v>1181.2928147709838</v>
      </c>
    </row>
    <row r="16" spans="1:20" x14ac:dyDescent="0.35">
      <c r="A16">
        <v>2022</v>
      </c>
      <c r="B16" t="s">
        <v>5</v>
      </c>
      <c r="C16" t="s">
        <v>15</v>
      </c>
      <c r="D16">
        <v>0</v>
      </c>
      <c r="E16">
        <v>2</v>
      </c>
      <c r="F16">
        <v>-19.445609435690098</v>
      </c>
      <c r="G16">
        <v>2508601.2999999998</v>
      </c>
      <c r="H16">
        <v>3660338.3302690201</v>
      </c>
      <c r="I16">
        <v>110.66695154713398</v>
      </c>
      <c r="J16">
        <v>3</v>
      </c>
      <c r="K16">
        <v>1.2</v>
      </c>
      <c r="L16">
        <v>1581.7098134643518</v>
      </c>
      <c r="M16">
        <v>363.93657998131198</v>
      </c>
      <c r="N16">
        <v>205.57873085087999</v>
      </c>
      <c r="O16">
        <v>647.18317493068787</v>
      </c>
      <c r="P16">
        <v>224.57565364707202</v>
      </c>
      <c r="Q16">
        <v>140.43567405439998</v>
      </c>
      <c r="R16">
        <v>117.14359785447171</v>
      </c>
      <c r="S16">
        <v>244.82024044766095</v>
      </c>
      <c r="T16">
        <v>1219.7318642792891</v>
      </c>
    </row>
    <row r="17" spans="1:20" x14ac:dyDescent="0.35">
      <c r="A17">
        <v>2022</v>
      </c>
      <c r="B17" t="s">
        <v>5</v>
      </c>
      <c r="C17" t="s">
        <v>15</v>
      </c>
      <c r="D17">
        <v>0</v>
      </c>
      <c r="E17">
        <v>3</v>
      </c>
      <c r="F17">
        <v>-15.1</v>
      </c>
      <c r="G17">
        <v>2594398.2000000002</v>
      </c>
      <c r="H17">
        <v>3472080.2</v>
      </c>
      <c r="I17">
        <v>109.35684562140001</v>
      </c>
      <c r="J17">
        <v>4</v>
      </c>
      <c r="K17">
        <v>2.6</v>
      </c>
      <c r="L17">
        <v>1222.0472053239744</v>
      </c>
      <c r="M17">
        <v>260.097659744</v>
      </c>
      <c r="N17">
        <v>186.17787201894399</v>
      </c>
      <c r="O17">
        <v>496.46492193123203</v>
      </c>
      <c r="P17">
        <v>179.67872933900799</v>
      </c>
      <c r="Q17">
        <v>99.628022290790398</v>
      </c>
      <c r="R17">
        <v>86.45242512724154</v>
      </c>
      <c r="S17">
        <v>168.20109139258494</v>
      </c>
      <c r="T17">
        <v>967.38283054588476</v>
      </c>
    </row>
    <row r="18" spans="1:20" x14ac:dyDescent="0.35">
      <c r="A18">
        <v>2022</v>
      </c>
      <c r="B18" t="s">
        <v>6</v>
      </c>
      <c r="C18" t="s">
        <v>15</v>
      </c>
      <c r="D18">
        <v>0</v>
      </c>
      <c r="E18">
        <v>4</v>
      </c>
      <c r="F18">
        <v>-10.686867462223701</v>
      </c>
      <c r="G18">
        <v>2395492.7000000002</v>
      </c>
      <c r="H18">
        <v>3392361.5548375198</v>
      </c>
      <c r="I18">
        <v>108.30554838139741</v>
      </c>
      <c r="J18">
        <v>4.9000000000000004</v>
      </c>
      <c r="K18">
        <v>3.8</v>
      </c>
      <c r="L18">
        <v>1601.4604610742881</v>
      </c>
      <c r="M18">
        <v>304.28213949952004</v>
      </c>
      <c r="N18">
        <v>233.16716223052802</v>
      </c>
      <c r="O18">
        <v>742.88096573228802</v>
      </c>
      <c r="P18">
        <v>188.25614446703997</v>
      </c>
      <c r="Q18">
        <v>132.87404914491196</v>
      </c>
      <c r="R18">
        <v>115.76686349321071</v>
      </c>
      <c r="S18">
        <v>239.82977919266057</v>
      </c>
      <c r="T18">
        <v>1245.8497699996237</v>
      </c>
    </row>
    <row r="19" spans="1:20" x14ac:dyDescent="0.35">
      <c r="A19">
        <v>2022</v>
      </c>
      <c r="B19" t="s">
        <v>6</v>
      </c>
      <c r="C19" t="s">
        <v>15</v>
      </c>
      <c r="D19">
        <v>0</v>
      </c>
      <c r="E19">
        <v>5</v>
      </c>
      <c r="F19">
        <v>-7.09715205338627</v>
      </c>
      <c r="G19">
        <v>2425325.7999999998</v>
      </c>
      <c r="H19">
        <v>3389191.31573962</v>
      </c>
      <c r="I19">
        <v>106.99356882670881</v>
      </c>
      <c r="J19">
        <v>5.4</v>
      </c>
      <c r="K19">
        <v>4.9000000000000004</v>
      </c>
      <c r="L19">
        <v>1594.2559943374142</v>
      </c>
      <c r="M19">
        <v>307.52749398527999</v>
      </c>
      <c r="N19">
        <v>201.127868288576</v>
      </c>
      <c r="O19">
        <v>712.55925169990394</v>
      </c>
      <c r="P19">
        <v>216.89002562854398</v>
      </c>
      <c r="Q19">
        <v>156.15135473511037</v>
      </c>
      <c r="R19">
        <v>114.27396829186048</v>
      </c>
      <c r="S19">
        <v>246.00977923078258</v>
      </c>
      <c r="T19">
        <v>1233.9582831023295</v>
      </c>
    </row>
    <row r="20" spans="1:20" x14ac:dyDescent="0.35">
      <c r="A20">
        <v>2022</v>
      </c>
      <c r="B20" t="s">
        <v>6</v>
      </c>
      <c r="C20" t="s">
        <v>15</v>
      </c>
      <c r="D20">
        <v>0</v>
      </c>
      <c r="E20">
        <v>6</v>
      </c>
      <c r="F20">
        <v>-5.2</v>
      </c>
      <c r="G20">
        <v>2754673.7</v>
      </c>
      <c r="H20">
        <v>3397177.6</v>
      </c>
      <c r="I20">
        <v>105.65533440000002</v>
      </c>
      <c r="J20">
        <v>6.1</v>
      </c>
      <c r="K20">
        <v>6</v>
      </c>
      <c r="L20">
        <v>1453.5376409902269</v>
      </c>
      <c r="M20">
        <v>292.78719693350405</v>
      </c>
      <c r="N20">
        <v>217.17806851459201</v>
      </c>
      <c r="O20">
        <v>602.72707421279995</v>
      </c>
      <c r="P20">
        <v>209.26175440243199</v>
      </c>
      <c r="Q20">
        <v>131.5835469268992</v>
      </c>
      <c r="R20">
        <v>97.826966330988455</v>
      </c>
      <c r="S20">
        <v>214.52599620945341</v>
      </c>
      <c r="T20">
        <v>1141.1719515859552</v>
      </c>
    </row>
    <row r="21" spans="1:20" x14ac:dyDescent="0.35">
      <c r="A21">
        <v>2022</v>
      </c>
      <c r="B21" t="s">
        <v>7</v>
      </c>
      <c r="C21" t="s">
        <v>16</v>
      </c>
      <c r="D21">
        <v>0</v>
      </c>
      <c r="E21">
        <v>7</v>
      </c>
      <c r="F21">
        <v>-5.5673708118396004</v>
      </c>
      <c r="G21">
        <v>2963788.0047272798</v>
      </c>
      <c r="H21">
        <v>3370818.17777954</v>
      </c>
      <c r="I21">
        <v>105.13100552551212</v>
      </c>
      <c r="J21">
        <v>6.4518816215428503</v>
      </c>
      <c r="K21">
        <v>6.8494369505855</v>
      </c>
      <c r="L21">
        <v>1190.8603908451457</v>
      </c>
      <c r="M21">
        <v>222.75076038912005</v>
      </c>
      <c r="N21">
        <v>195.50240080627199</v>
      </c>
      <c r="O21">
        <v>478.38179396697592</v>
      </c>
      <c r="P21">
        <v>199.43764743011204</v>
      </c>
      <c r="Q21">
        <v>94.787788252665607</v>
      </c>
      <c r="R21">
        <v>83.043181038557663</v>
      </c>
      <c r="S21">
        <v>168.51741266367586</v>
      </c>
      <c r="T21">
        <v>939.28949457118483</v>
      </c>
    </row>
    <row r="22" spans="1:20" x14ac:dyDescent="0.35">
      <c r="A22">
        <v>2022</v>
      </c>
      <c r="B22" t="s">
        <v>7</v>
      </c>
      <c r="C22" t="s">
        <v>16</v>
      </c>
      <c r="D22">
        <v>0</v>
      </c>
      <c r="E22">
        <v>8</v>
      </c>
      <c r="F22">
        <v>-7.58247713172881</v>
      </c>
      <c r="G22">
        <v>2917313.5</v>
      </c>
      <c r="H22">
        <v>3344169.43070804</v>
      </c>
      <c r="I22">
        <v>105.58467580396254</v>
      </c>
      <c r="J22">
        <v>6.4</v>
      </c>
      <c r="K22">
        <v>6.9</v>
      </c>
      <c r="L22">
        <v>1268.3423465029953</v>
      </c>
      <c r="M22">
        <v>262.96604946768002</v>
      </c>
      <c r="N22">
        <v>209.63933780479999</v>
      </c>
      <c r="O22">
        <v>530.68766799193611</v>
      </c>
      <c r="P22">
        <v>170.909707065216</v>
      </c>
      <c r="Q22">
        <v>94.13958417336319</v>
      </c>
      <c r="R22">
        <v>85.673353756920463</v>
      </c>
      <c r="S22">
        <v>168.80201591641446</v>
      </c>
      <c r="T22">
        <v>1013.8557745637492</v>
      </c>
    </row>
    <row r="23" spans="1:20" x14ac:dyDescent="0.35">
      <c r="A23">
        <v>2022</v>
      </c>
      <c r="B23" t="s">
        <v>7</v>
      </c>
      <c r="C23" t="s">
        <v>16</v>
      </c>
      <c r="D23">
        <v>0</v>
      </c>
      <c r="E23">
        <v>9</v>
      </c>
      <c r="F23">
        <v>-10.3313448857536</v>
      </c>
      <c r="G23">
        <v>2721458.4</v>
      </c>
      <c r="H23">
        <v>3371177.3932825201</v>
      </c>
      <c r="I23">
        <v>106.70612084874524</v>
      </c>
      <c r="J23">
        <v>6.3</v>
      </c>
      <c r="K23">
        <v>6.3</v>
      </c>
      <c r="L23">
        <v>1561.4892286554914</v>
      </c>
      <c r="M23">
        <v>333.13110727987203</v>
      </c>
      <c r="N23">
        <v>212.54614454928</v>
      </c>
      <c r="O23">
        <v>634.71521940860805</v>
      </c>
      <c r="P23">
        <v>226.09908331231998</v>
      </c>
      <c r="Q23">
        <v>154.99767410541119</v>
      </c>
      <c r="R23">
        <v>118.53660437214907</v>
      </c>
      <c r="S23">
        <v>244.29043402743056</v>
      </c>
      <c r="T23">
        <v>1198.6482596973992</v>
      </c>
    </row>
    <row r="24" spans="1:20" x14ac:dyDescent="0.35">
      <c r="A24">
        <v>2022</v>
      </c>
      <c r="B24" t="s">
        <v>7</v>
      </c>
      <c r="C24" t="s">
        <v>16</v>
      </c>
      <c r="D24">
        <v>0</v>
      </c>
      <c r="E24">
        <v>10</v>
      </c>
      <c r="F24">
        <v>-12.9</v>
      </c>
      <c r="G24">
        <v>2840041.5</v>
      </c>
      <c r="H24">
        <v>3505788.1</v>
      </c>
      <c r="I24">
        <v>108.289166388</v>
      </c>
      <c r="J24">
        <v>6.9</v>
      </c>
      <c r="K24">
        <v>7.4</v>
      </c>
      <c r="L24">
        <v>1220.4452664185858</v>
      </c>
      <c r="M24">
        <v>244.505076576736</v>
      </c>
      <c r="N24">
        <v>199.45807157769599</v>
      </c>
      <c r="O24">
        <v>502.920860793504</v>
      </c>
      <c r="P24">
        <v>172.200656038912</v>
      </c>
      <c r="Q24">
        <v>101.36060143173759</v>
      </c>
      <c r="R24">
        <v>82.798069592812169</v>
      </c>
      <c r="S24">
        <v>167.92998129342246</v>
      </c>
      <c r="T24">
        <v>969.70633979216689</v>
      </c>
    </row>
    <row r="25" spans="1:20" x14ac:dyDescent="0.35">
      <c r="A25">
        <v>2022</v>
      </c>
      <c r="B25" t="s">
        <v>8</v>
      </c>
      <c r="C25" t="s">
        <v>16</v>
      </c>
      <c r="D25">
        <v>0</v>
      </c>
      <c r="E25">
        <v>11</v>
      </c>
      <c r="F25">
        <v>-14.5305814092603</v>
      </c>
      <c r="G25">
        <v>2910946</v>
      </c>
      <c r="H25">
        <v>3768636.6731360001</v>
      </c>
      <c r="I25">
        <v>110.26282120780597</v>
      </c>
      <c r="J25">
        <v>7.7</v>
      </c>
      <c r="K25">
        <v>9.4</v>
      </c>
      <c r="L25">
        <v>1604.1970741039681</v>
      </c>
      <c r="M25">
        <v>358.90575387251198</v>
      </c>
      <c r="N25">
        <v>225.69746492313598</v>
      </c>
      <c r="O25">
        <v>685.43252437286401</v>
      </c>
      <c r="P25">
        <v>201.69530211471999</v>
      </c>
      <c r="Q25">
        <v>132.466028820736</v>
      </c>
      <c r="R25">
        <v>111.84553712242952</v>
      </c>
      <c r="S25">
        <v>251.24144747451845</v>
      </c>
      <c r="T25">
        <v>1241.0956104581699</v>
      </c>
    </row>
    <row r="26" spans="1:20" x14ac:dyDescent="0.35">
      <c r="A26">
        <v>2022</v>
      </c>
      <c r="B26" t="s">
        <v>8</v>
      </c>
      <c r="C26" t="s">
        <v>16</v>
      </c>
      <c r="D26">
        <v>0</v>
      </c>
      <c r="E26">
        <v>12</v>
      </c>
      <c r="F26">
        <v>-15.089680083152301</v>
      </c>
      <c r="G26">
        <v>2643861.1</v>
      </c>
      <c r="H26">
        <v>4047114.5860799998</v>
      </c>
      <c r="I26">
        <v>112.10999164049821</v>
      </c>
      <c r="J26">
        <v>8</v>
      </c>
      <c r="K26">
        <v>10</v>
      </c>
      <c r="L26">
        <v>1330.2030303167614</v>
      </c>
      <c r="M26">
        <v>248.07012019487999</v>
      </c>
      <c r="N26">
        <v>175.68268101619199</v>
      </c>
      <c r="O26">
        <v>577.09630747932795</v>
      </c>
      <c r="P26">
        <v>199.375970977376</v>
      </c>
      <c r="Q26">
        <v>129.9779506489856</v>
      </c>
      <c r="R26">
        <v>93.80591556299369</v>
      </c>
      <c r="S26">
        <v>177.60685052806494</v>
      </c>
      <c r="T26">
        <v>1058.7784639043016</v>
      </c>
    </row>
    <row r="27" spans="1:20" x14ac:dyDescent="0.35">
      <c r="A27">
        <v>2022</v>
      </c>
      <c r="B27" t="s">
        <v>8</v>
      </c>
      <c r="C27" t="s">
        <v>16</v>
      </c>
      <c r="D27">
        <v>1</v>
      </c>
      <c r="E27">
        <v>13</v>
      </c>
      <c r="F27">
        <v>-14.6</v>
      </c>
      <c r="G27">
        <v>3159134.1</v>
      </c>
      <c r="H27">
        <v>4195302.4000000004</v>
      </c>
      <c r="I27">
        <v>113.08651000920001</v>
      </c>
      <c r="J27">
        <v>8.1</v>
      </c>
      <c r="K27">
        <v>10.199999999999999</v>
      </c>
      <c r="L27">
        <v>1224.4639667154688</v>
      </c>
      <c r="M27">
        <v>267.67663453760002</v>
      </c>
      <c r="N27">
        <v>164.66105057536004</v>
      </c>
      <c r="O27">
        <v>524.74115325440005</v>
      </c>
      <c r="P27">
        <v>161.81865276185599</v>
      </c>
      <c r="Q27">
        <v>105.56647558625279</v>
      </c>
      <c r="R27">
        <v>80.694968631760673</v>
      </c>
      <c r="S27">
        <v>165.3250056592199</v>
      </c>
      <c r="T27">
        <v>978.43318104924913</v>
      </c>
    </row>
    <row r="28" spans="1:20" x14ac:dyDescent="0.35">
      <c r="A28">
        <v>2023</v>
      </c>
      <c r="B28" t="s">
        <v>5</v>
      </c>
      <c r="C28" t="s">
        <v>15</v>
      </c>
      <c r="D28">
        <v>1</v>
      </c>
      <c r="E28">
        <v>1</v>
      </c>
      <c r="F28">
        <v>-13.207751545849099</v>
      </c>
      <c r="G28">
        <v>2761929.7</v>
      </c>
      <c r="H28">
        <v>4115177.97757154</v>
      </c>
      <c r="I28">
        <v>119.78513055771705</v>
      </c>
      <c r="J28">
        <v>8.6999999999999993</v>
      </c>
      <c r="K28">
        <v>10.7</v>
      </c>
      <c r="L28">
        <v>1532.4446253530432</v>
      </c>
      <c r="M28">
        <v>309.54693067583997</v>
      </c>
      <c r="N28">
        <v>188.49051534816005</v>
      </c>
      <c r="O28">
        <v>664.43282849433592</v>
      </c>
      <c r="P28">
        <v>210.77205735043202</v>
      </c>
      <c r="Q28">
        <v>159.2022934842752</v>
      </c>
      <c r="R28">
        <v>115.9002585073986</v>
      </c>
      <c r="S28">
        <v>232.88946921170191</v>
      </c>
      <c r="T28">
        <v>1183.6414437074664</v>
      </c>
    </row>
    <row r="29" spans="1:20" x14ac:dyDescent="0.35">
      <c r="A29">
        <v>2023</v>
      </c>
      <c r="B29" t="s">
        <v>5</v>
      </c>
      <c r="C29" t="s">
        <v>15</v>
      </c>
      <c r="D29">
        <v>0</v>
      </c>
      <c r="E29">
        <v>2</v>
      </c>
      <c r="F29">
        <v>-11.5531707376313</v>
      </c>
      <c r="G29">
        <v>2569344.7000000002</v>
      </c>
      <c r="H29">
        <v>3900308.38750041</v>
      </c>
      <c r="I29">
        <v>118.21495768980169</v>
      </c>
      <c r="J29">
        <v>8.6</v>
      </c>
      <c r="K29">
        <v>10.8</v>
      </c>
      <c r="L29">
        <v>1256.1266526505856</v>
      </c>
      <c r="M29">
        <v>247.38724592665599</v>
      </c>
      <c r="N29">
        <v>163.45724511232004</v>
      </c>
      <c r="O29">
        <v>553.0759065059201</v>
      </c>
      <c r="P29">
        <v>191.47747478767999</v>
      </c>
      <c r="Q29">
        <v>100.7287803180096</v>
      </c>
      <c r="R29">
        <v>88.714597483795188</v>
      </c>
      <c r="S29">
        <v>173.90440905783902</v>
      </c>
      <c r="T29">
        <v>993.49633670454659</v>
      </c>
    </row>
    <row r="30" spans="1:20" x14ac:dyDescent="0.35">
      <c r="A30">
        <v>2023</v>
      </c>
      <c r="B30" t="s">
        <v>5</v>
      </c>
      <c r="C30" t="s">
        <v>15</v>
      </c>
      <c r="D30">
        <v>0</v>
      </c>
      <c r="E30">
        <v>3</v>
      </c>
      <c r="F30">
        <v>-10.4</v>
      </c>
      <c r="G30">
        <v>2670972</v>
      </c>
      <c r="H30">
        <v>3692158</v>
      </c>
      <c r="I30">
        <v>116.35568374116961</v>
      </c>
      <c r="J30">
        <v>7.6</v>
      </c>
      <c r="K30">
        <v>9.3000000000000007</v>
      </c>
      <c r="L30">
        <v>1505.7415008709727</v>
      </c>
      <c r="M30">
        <v>299.23597002940801</v>
      </c>
      <c r="N30">
        <v>232.32602606915199</v>
      </c>
      <c r="O30">
        <v>664.62912323807996</v>
      </c>
      <c r="P30">
        <v>186.542220487104</v>
      </c>
      <c r="Q30">
        <v>123.00816104722878</v>
      </c>
      <c r="R30">
        <v>106.73867953078143</v>
      </c>
      <c r="S30">
        <v>211.05000181107116</v>
      </c>
      <c r="T30">
        <v>1187.9395613415181</v>
      </c>
    </row>
    <row r="31" spans="1:20" x14ac:dyDescent="0.35">
      <c r="A31">
        <v>2023</v>
      </c>
      <c r="B31" t="s">
        <v>6</v>
      </c>
      <c r="C31" t="s">
        <v>15</v>
      </c>
      <c r="D31">
        <v>0</v>
      </c>
      <c r="E31">
        <v>4</v>
      </c>
      <c r="F31">
        <v>-10.2487827777137</v>
      </c>
      <c r="G31">
        <v>2484793.2000000002</v>
      </c>
      <c r="H31">
        <v>3597341.4573185998</v>
      </c>
      <c r="I31">
        <v>114.40017899046033</v>
      </c>
      <c r="J31">
        <v>6.6</v>
      </c>
      <c r="K31">
        <v>7.9</v>
      </c>
      <c r="L31">
        <v>1507.6379859606209</v>
      </c>
      <c r="M31">
        <v>353.29543135376002</v>
      </c>
      <c r="N31">
        <v>190.53053129728002</v>
      </c>
      <c r="O31">
        <v>620.82992111078397</v>
      </c>
      <c r="P31">
        <v>196.64089372672001</v>
      </c>
      <c r="Q31">
        <v>146.3412084720768</v>
      </c>
      <c r="R31">
        <v>109.44960002376067</v>
      </c>
      <c r="S31">
        <v>230.83087674182838</v>
      </c>
      <c r="T31">
        <v>1167.3442261254906</v>
      </c>
    </row>
    <row r="32" spans="1:20" x14ac:dyDescent="0.35">
      <c r="A32">
        <v>2023</v>
      </c>
      <c r="B32" t="s">
        <v>6</v>
      </c>
      <c r="C32" t="s">
        <v>15</v>
      </c>
      <c r="D32">
        <v>0</v>
      </c>
      <c r="E32">
        <v>5</v>
      </c>
      <c r="F32">
        <v>-10.547266595952101</v>
      </c>
      <c r="G32">
        <v>2493803.5</v>
      </c>
      <c r="H32">
        <v>3583074.4898442701</v>
      </c>
      <c r="I32">
        <v>112.12542106632793</v>
      </c>
      <c r="J32">
        <v>6.1</v>
      </c>
      <c r="K32">
        <v>7.4</v>
      </c>
      <c r="L32">
        <v>1384.0863205625278</v>
      </c>
      <c r="M32">
        <v>304.03324409875199</v>
      </c>
      <c r="N32">
        <v>191.99219973984</v>
      </c>
      <c r="O32">
        <v>582.76926958176</v>
      </c>
      <c r="P32">
        <v>181.60087176806397</v>
      </c>
      <c r="Q32">
        <v>123.69073537411199</v>
      </c>
      <c r="R32">
        <v>97.482582624490135</v>
      </c>
      <c r="S32">
        <v>194.6302811873189</v>
      </c>
      <c r="T32">
        <v>1091.9610965642594</v>
      </c>
    </row>
    <row r="33" spans="1:20" x14ac:dyDescent="0.35">
      <c r="A33">
        <v>2023</v>
      </c>
      <c r="B33" t="s">
        <v>6</v>
      </c>
      <c r="C33" t="s">
        <v>15</v>
      </c>
      <c r="D33">
        <v>0</v>
      </c>
      <c r="E33">
        <v>6</v>
      </c>
      <c r="F33">
        <v>-10.48</v>
      </c>
      <c r="G33">
        <v>2812471.4</v>
      </c>
      <c r="H33">
        <v>3581723.1</v>
      </c>
      <c r="I33">
        <v>110.19851377920001</v>
      </c>
      <c r="J33">
        <v>5.4</v>
      </c>
      <c r="K33">
        <v>6.7</v>
      </c>
      <c r="L33">
        <v>1376.3450311506242</v>
      </c>
      <c r="M33">
        <v>306.371152480896</v>
      </c>
      <c r="N33">
        <v>209.88850735520001</v>
      </c>
      <c r="O33">
        <v>567.143963409408</v>
      </c>
      <c r="P33">
        <v>180.13034937456001</v>
      </c>
      <c r="Q33">
        <v>112.81105853056002</v>
      </c>
      <c r="R33">
        <v>94.832637703752766</v>
      </c>
      <c r="S33">
        <v>200.64657849747053</v>
      </c>
      <c r="T33">
        <v>1080.8537309307994</v>
      </c>
    </row>
    <row r="34" spans="1:20" x14ac:dyDescent="0.35">
      <c r="A34">
        <v>2023</v>
      </c>
      <c r="B34" t="s">
        <v>7</v>
      </c>
      <c r="C34" t="s">
        <v>16</v>
      </c>
      <c r="D34">
        <v>0</v>
      </c>
      <c r="E34">
        <v>7</v>
      </c>
      <c r="F34">
        <v>-9.5339627792051296</v>
      </c>
      <c r="G34">
        <v>3028371.37526146</v>
      </c>
      <c r="H34">
        <v>3546450.7891871701</v>
      </c>
      <c r="I34">
        <v>109.77066805055513</v>
      </c>
      <c r="J34">
        <v>4.8198959648848803</v>
      </c>
      <c r="K34">
        <v>6.0469953740806996</v>
      </c>
      <c r="L34">
        <v>1563.0659750133152</v>
      </c>
      <c r="M34">
        <v>380.93921029760003</v>
      </c>
      <c r="N34">
        <v>198.22380845126401</v>
      </c>
      <c r="O34">
        <v>618.12127224537608</v>
      </c>
      <c r="P34">
        <v>200.55210716735996</v>
      </c>
      <c r="Q34">
        <v>165.22957685171519</v>
      </c>
      <c r="R34">
        <v>111.60637519490541</v>
      </c>
      <c r="S34">
        <v>238.37411282958496</v>
      </c>
      <c r="T34">
        <v>1213.0717814790175</v>
      </c>
    </row>
    <row r="35" spans="1:20" x14ac:dyDescent="0.35">
      <c r="A35">
        <v>2023</v>
      </c>
      <c r="B35" t="s">
        <v>7</v>
      </c>
      <c r="C35" t="s">
        <v>16</v>
      </c>
      <c r="D35">
        <v>0</v>
      </c>
      <c r="E35">
        <v>8</v>
      </c>
      <c r="F35">
        <v>-8.4058596991659904</v>
      </c>
      <c r="G35">
        <v>2991816.3</v>
      </c>
      <c r="H35">
        <v>3513611.05472069</v>
      </c>
      <c r="I35">
        <v>110.80260502145724</v>
      </c>
      <c r="J35">
        <v>4.7</v>
      </c>
      <c r="K35">
        <v>6.3</v>
      </c>
      <c r="L35">
        <v>1700.5440191297794</v>
      </c>
      <c r="M35">
        <v>348.92674153641599</v>
      </c>
      <c r="N35">
        <v>211.08451217903999</v>
      </c>
      <c r="O35">
        <v>773.39587409251203</v>
      </c>
      <c r="P35">
        <v>212.72175542473599</v>
      </c>
      <c r="Q35">
        <v>154.4151358970752</v>
      </c>
      <c r="R35">
        <v>121.91264355866174</v>
      </c>
      <c r="S35">
        <v>248.43487522709091</v>
      </c>
      <c r="T35">
        <v>1330.1813152143382</v>
      </c>
    </row>
    <row r="36" spans="1:20" x14ac:dyDescent="0.35">
      <c r="A36">
        <v>2023</v>
      </c>
      <c r="B36" t="s">
        <v>7</v>
      </c>
      <c r="C36" t="s">
        <v>16</v>
      </c>
      <c r="D36">
        <v>0</v>
      </c>
      <c r="E36">
        <v>9</v>
      </c>
      <c r="F36">
        <v>-8.0948267695438592</v>
      </c>
      <c r="G36">
        <v>2795824.6</v>
      </c>
      <c r="H36">
        <v>3540354.8928938699</v>
      </c>
      <c r="I36">
        <v>112.6546531361399</v>
      </c>
      <c r="J36">
        <v>5.3</v>
      </c>
      <c r="K36">
        <v>8.1</v>
      </c>
      <c r="L36">
        <v>1129.2333759451519</v>
      </c>
      <c r="M36">
        <v>208.15344679936004</v>
      </c>
      <c r="N36">
        <v>182.64702676377598</v>
      </c>
      <c r="O36">
        <v>487.98840108223999</v>
      </c>
      <c r="P36">
        <v>155.93596799455997</v>
      </c>
      <c r="Q36">
        <v>94.508533305216005</v>
      </c>
      <c r="R36">
        <v>74.04492215136159</v>
      </c>
      <c r="S36">
        <v>149.61412535751572</v>
      </c>
      <c r="T36">
        <v>905.56418141645781</v>
      </c>
    </row>
    <row r="37" spans="1:20" x14ac:dyDescent="0.35">
      <c r="A37">
        <v>2023</v>
      </c>
      <c r="B37" t="s">
        <v>7</v>
      </c>
      <c r="C37" t="s">
        <v>16</v>
      </c>
      <c r="D37">
        <v>0</v>
      </c>
      <c r="E37">
        <v>10</v>
      </c>
      <c r="F37">
        <v>-9.6</v>
      </c>
      <c r="G37">
        <v>2912882.5</v>
      </c>
      <c r="H37">
        <v>3683833.3</v>
      </c>
      <c r="I37">
        <v>114.78651637128</v>
      </c>
      <c r="J37">
        <v>6.1</v>
      </c>
      <c r="K37">
        <v>9.6999999999999993</v>
      </c>
      <c r="L37">
        <v>1482.8452481188801</v>
      </c>
      <c r="M37">
        <v>329.39234117222401</v>
      </c>
      <c r="N37">
        <v>210.60434450944001</v>
      </c>
      <c r="O37">
        <v>660.27057695712006</v>
      </c>
      <c r="P37">
        <v>161.13593540822401</v>
      </c>
      <c r="Q37">
        <v>121.442050071872</v>
      </c>
      <c r="R37">
        <v>98.21764871154511</v>
      </c>
      <c r="S37">
        <v>202.42378864824599</v>
      </c>
      <c r="T37">
        <v>1182.1908488869742</v>
      </c>
    </row>
    <row r="38" spans="1:20" x14ac:dyDescent="0.35">
      <c r="A38">
        <v>2023</v>
      </c>
      <c r="B38" t="s">
        <v>8</v>
      </c>
      <c r="C38" t="s">
        <v>16</v>
      </c>
      <c r="D38">
        <v>0</v>
      </c>
      <c r="E38">
        <v>11</v>
      </c>
      <c r="F38">
        <v>-13.327770335438199</v>
      </c>
      <c r="G38">
        <v>2997924.5</v>
      </c>
      <c r="H38">
        <v>3965393.6057453798</v>
      </c>
      <c r="I38">
        <v>116.88089429152433</v>
      </c>
      <c r="J38">
        <v>4.9000000000000004</v>
      </c>
      <c r="K38">
        <v>7</v>
      </c>
      <c r="L38">
        <v>1429.351852938659</v>
      </c>
      <c r="M38">
        <v>290.01393893574402</v>
      </c>
      <c r="N38">
        <v>206.10023018473598</v>
      </c>
      <c r="O38">
        <v>590.20098634342389</v>
      </c>
      <c r="P38">
        <v>211.0733928864</v>
      </c>
      <c r="Q38">
        <v>131.96330458835521</v>
      </c>
      <c r="R38">
        <v>100.99134244161405</v>
      </c>
      <c r="S38">
        <v>194.38317031479613</v>
      </c>
      <c r="T38">
        <v>1133.964691719026</v>
      </c>
    </row>
    <row r="39" spans="1:20" x14ac:dyDescent="0.35">
      <c r="A39">
        <v>2023</v>
      </c>
      <c r="B39" t="s">
        <v>8</v>
      </c>
      <c r="C39" t="s">
        <v>16</v>
      </c>
      <c r="D39">
        <v>0</v>
      </c>
      <c r="E39">
        <v>12</v>
      </c>
      <c r="F39">
        <v>-17.313548461732701</v>
      </c>
      <c r="G39">
        <v>2718834.5</v>
      </c>
      <c r="H39">
        <v>4263168.4734882899</v>
      </c>
      <c r="I39">
        <v>118.55394608790775</v>
      </c>
      <c r="J39">
        <v>4.0999999999999996</v>
      </c>
      <c r="K39">
        <v>5.7</v>
      </c>
      <c r="L39">
        <v>1541.5942941102562</v>
      </c>
      <c r="M39">
        <v>331.46328913574405</v>
      </c>
      <c r="N39">
        <v>216.89983008512002</v>
      </c>
      <c r="O39">
        <v>652.35766626835198</v>
      </c>
      <c r="P39">
        <v>204.251742022272</v>
      </c>
      <c r="Q39">
        <v>136.621766598768</v>
      </c>
      <c r="R39">
        <v>108.99149658604193</v>
      </c>
      <c r="S39">
        <v>239.74696963271526</v>
      </c>
      <c r="T39">
        <v>1192.8422470747312</v>
      </c>
    </row>
    <row r="40" spans="1:20" x14ac:dyDescent="0.35">
      <c r="A40">
        <v>2023</v>
      </c>
      <c r="B40" t="s">
        <v>8</v>
      </c>
      <c r="C40" t="s">
        <v>16</v>
      </c>
      <c r="D40">
        <v>1</v>
      </c>
      <c r="E40">
        <v>13</v>
      </c>
      <c r="F40">
        <v>-19</v>
      </c>
      <c r="G40">
        <v>3280333.5</v>
      </c>
      <c r="H40">
        <v>4419486.9000000004</v>
      </c>
      <c r="I40">
        <v>119.30626805970601</v>
      </c>
      <c r="J40">
        <v>3.9</v>
      </c>
      <c r="K40">
        <v>5.4</v>
      </c>
      <c r="L40">
        <v>1193.7471558086336</v>
      </c>
      <c r="M40">
        <v>233.44512290313602</v>
      </c>
      <c r="N40">
        <v>195.53722502399998</v>
      </c>
      <c r="O40">
        <v>481.27987662086394</v>
      </c>
      <c r="P40">
        <v>178.86327306224001</v>
      </c>
      <c r="Q40">
        <v>104.6216581983936</v>
      </c>
      <c r="R40">
        <v>78.715820630126075</v>
      </c>
      <c r="S40">
        <v>169.60325313847108</v>
      </c>
      <c r="T40">
        <v>945.41756037350649</v>
      </c>
    </row>
    <row r="41" spans="1:20" x14ac:dyDescent="0.35">
      <c r="A41">
        <v>2024</v>
      </c>
      <c r="B41" t="s">
        <v>5</v>
      </c>
      <c r="C41" t="s">
        <v>15</v>
      </c>
      <c r="D41">
        <v>1</v>
      </c>
      <c r="E41">
        <v>1</v>
      </c>
      <c r="F41">
        <v>-16.8005294121788</v>
      </c>
      <c r="G41">
        <v>2835905</v>
      </c>
      <c r="H41">
        <v>4328611.2265013801</v>
      </c>
      <c r="I41">
        <v>126.33106764815425</v>
      </c>
      <c r="J41">
        <v>2.8</v>
      </c>
      <c r="K41">
        <v>3.5</v>
      </c>
      <c r="L41">
        <v>1188.9724280214591</v>
      </c>
      <c r="M41">
        <v>243.11683153791998</v>
      </c>
      <c r="N41">
        <v>190.23188855999999</v>
      </c>
      <c r="O41">
        <v>479.43748648409598</v>
      </c>
      <c r="P41">
        <v>183.83195197452801</v>
      </c>
      <c r="Q41">
        <v>92.354269464915205</v>
      </c>
      <c r="R41">
        <v>83.454696472426136</v>
      </c>
      <c r="S41">
        <v>152.99214251342008</v>
      </c>
      <c r="T41">
        <v>952.51524586139226</v>
      </c>
    </row>
    <row r="42" spans="1:20" x14ac:dyDescent="0.35">
      <c r="A42">
        <v>2024</v>
      </c>
      <c r="B42" t="s">
        <v>5</v>
      </c>
      <c r="C42" t="s">
        <v>15</v>
      </c>
      <c r="D42">
        <v>0</v>
      </c>
      <c r="E42">
        <v>2</v>
      </c>
      <c r="F42">
        <v>-13.0114965234959</v>
      </c>
      <c r="G42">
        <v>2645557</v>
      </c>
      <c r="H42">
        <v>4092537.1720117498</v>
      </c>
      <c r="I42">
        <v>124.8623593848482</v>
      </c>
      <c r="J42">
        <v>3.4</v>
      </c>
      <c r="K42">
        <v>4.5999999999999996</v>
      </c>
      <c r="L42">
        <v>1116.822793808755</v>
      </c>
      <c r="M42">
        <v>209.04226876416001</v>
      </c>
      <c r="N42">
        <v>184.49057842924799</v>
      </c>
      <c r="O42">
        <v>440.4762281633279</v>
      </c>
      <c r="P42">
        <v>182.508509054976</v>
      </c>
      <c r="Q42">
        <v>100.3052093970432</v>
      </c>
      <c r="R42">
        <v>75.08170995369025</v>
      </c>
      <c r="S42">
        <v>156.96060190990195</v>
      </c>
      <c r="T42">
        <v>884.77066873291972</v>
      </c>
    </row>
    <row r="43" spans="1:20" x14ac:dyDescent="0.35">
      <c r="A43">
        <v>2024</v>
      </c>
      <c r="B43" t="s">
        <v>5</v>
      </c>
      <c r="C43" t="s">
        <v>15</v>
      </c>
      <c r="D43">
        <v>0</v>
      </c>
      <c r="E43">
        <v>3</v>
      </c>
      <c r="F43">
        <v>-10.9</v>
      </c>
      <c r="G43">
        <v>2737834</v>
      </c>
      <c r="H43">
        <v>3865193.8</v>
      </c>
      <c r="I43">
        <v>123.22066908189862</v>
      </c>
      <c r="J43">
        <v>3.7</v>
      </c>
      <c r="K43">
        <v>5.6</v>
      </c>
      <c r="L43">
        <v>1423.941024417712</v>
      </c>
      <c r="M43">
        <v>289.03193315030404</v>
      </c>
      <c r="N43">
        <v>180.557090331008</v>
      </c>
      <c r="O43">
        <v>597.84780054563203</v>
      </c>
      <c r="P43">
        <v>224.48814760959999</v>
      </c>
      <c r="Q43">
        <v>132.01605278116801</v>
      </c>
      <c r="R43">
        <v>97.375135390693004</v>
      </c>
      <c r="S43">
        <v>202.46125480316252</v>
      </c>
      <c r="T43">
        <v>1124.0920023463445</v>
      </c>
    </row>
    <row r="44" spans="1:20" x14ac:dyDescent="0.35">
      <c r="A44">
        <v>2024</v>
      </c>
      <c r="B44" t="s">
        <v>6</v>
      </c>
      <c r="C44" t="s">
        <v>15</v>
      </c>
      <c r="D44">
        <v>0</v>
      </c>
      <c r="E44">
        <v>4</v>
      </c>
      <c r="F44">
        <v>-12.740482386216801</v>
      </c>
      <c r="G44">
        <v>2562307</v>
      </c>
      <c r="H44">
        <v>3762701.5326935202</v>
      </c>
      <c r="I44">
        <v>121.50792418003863</v>
      </c>
      <c r="J44">
        <v>3.8</v>
      </c>
      <c r="K44">
        <v>6</v>
      </c>
      <c r="L44">
        <v>1365.2519986184993</v>
      </c>
      <c r="M44">
        <v>258.02853703987199</v>
      </c>
      <c r="N44">
        <v>220.18881764915201</v>
      </c>
      <c r="O44">
        <v>575.91185842319999</v>
      </c>
      <c r="P44">
        <v>196.95064673855998</v>
      </c>
      <c r="Q44">
        <v>114.17213876771521</v>
      </c>
      <c r="R44">
        <v>93.609163384733264</v>
      </c>
      <c r="S44">
        <v>195.28091374486323</v>
      </c>
      <c r="T44">
        <v>1076.3496215442026</v>
      </c>
    </row>
    <row r="45" spans="1:20" x14ac:dyDescent="0.35">
      <c r="A45">
        <v>2024</v>
      </c>
      <c r="B45" t="s">
        <v>6</v>
      </c>
      <c r="C45" t="s">
        <v>15</v>
      </c>
      <c r="D45">
        <v>0</v>
      </c>
      <c r="E45">
        <v>5</v>
      </c>
      <c r="F45">
        <v>-16.836761740579899</v>
      </c>
      <c r="G45">
        <v>2583469</v>
      </c>
      <c r="H45">
        <v>3749946.2273535999</v>
      </c>
      <c r="I45">
        <v>119.35988305479485</v>
      </c>
      <c r="J45">
        <v>3.9</v>
      </c>
      <c r="K45">
        <v>5.8</v>
      </c>
      <c r="L45">
        <v>1465.7847009874079</v>
      </c>
      <c r="M45">
        <v>353.07586816000003</v>
      </c>
      <c r="N45">
        <v>191.29266186339197</v>
      </c>
      <c r="O45">
        <v>568.06572842044807</v>
      </c>
      <c r="P45">
        <v>219.41905237651198</v>
      </c>
      <c r="Q45">
        <v>133.93139016705601</v>
      </c>
      <c r="R45">
        <v>110.27625400364465</v>
      </c>
      <c r="S45">
        <v>212.33866631236509</v>
      </c>
      <c r="T45">
        <v>1143.1567456543323</v>
      </c>
    </row>
    <row r="46" spans="1:20" x14ac:dyDescent="0.35">
      <c r="A46">
        <v>2024</v>
      </c>
      <c r="B46" t="s">
        <v>6</v>
      </c>
      <c r="C46" t="s">
        <v>15</v>
      </c>
      <c r="D46">
        <v>0</v>
      </c>
      <c r="E46">
        <v>6</v>
      </c>
      <c r="F46">
        <v>-20.5</v>
      </c>
      <c r="G46">
        <v>2881751</v>
      </c>
      <c r="H46">
        <v>3754005.1</v>
      </c>
      <c r="I46">
        <v>117.36141717484801</v>
      </c>
      <c r="J46">
        <v>3.7</v>
      </c>
      <c r="K46">
        <v>6.1</v>
      </c>
      <c r="L46">
        <v>1290.4593972831744</v>
      </c>
      <c r="M46">
        <v>265.88434524607993</v>
      </c>
      <c r="N46">
        <v>189.14314477968</v>
      </c>
      <c r="O46">
        <v>544.58946757254409</v>
      </c>
      <c r="P46">
        <v>179.37976736169603</v>
      </c>
      <c r="Q46">
        <v>111.46267232317439</v>
      </c>
      <c r="R46">
        <v>89.020099897469279</v>
      </c>
      <c r="S46">
        <v>182.52097425442417</v>
      </c>
      <c r="T46">
        <v>1018.9070430983647</v>
      </c>
    </row>
    <row r="47" spans="1:20" x14ac:dyDescent="0.35">
      <c r="A47">
        <v>2024</v>
      </c>
      <c r="B47" t="s">
        <v>7</v>
      </c>
      <c r="C47" t="s">
        <v>16</v>
      </c>
      <c r="D47">
        <v>0</v>
      </c>
      <c r="E47">
        <v>7</v>
      </c>
      <c r="F47">
        <v>-21.643768775974198</v>
      </c>
      <c r="G47">
        <v>3105453.7963681701</v>
      </c>
      <c r="H47">
        <v>3723767.9121080302</v>
      </c>
      <c r="I47">
        <v>116.6672393647778</v>
      </c>
      <c r="J47">
        <v>4.1674325622213502</v>
      </c>
      <c r="K47">
        <v>6.7676254079200104</v>
      </c>
      <c r="L47">
        <v>1449.3722724438398</v>
      </c>
      <c r="M47">
        <v>315.00329472921601</v>
      </c>
      <c r="N47">
        <v>207.67419717030398</v>
      </c>
      <c r="O47">
        <v>594.03481744320004</v>
      </c>
      <c r="P47">
        <v>204.57960694598398</v>
      </c>
      <c r="Q47">
        <v>128.08035615513603</v>
      </c>
      <c r="R47">
        <v>99.395767486702795</v>
      </c>
      <c r="S47">
        <v>200.8248218520821</v>
      </c>
      <c r="T47">
        <v>1149.1389409955552</v>
      </c>
    </row>
    <row r="48" spans="1:20" x14ac:dyDescent="0.35">
      <c r="A48">
        <v>2024</v>
      </c>
      <c r="B48" t="s">
        <v>7</v>
      </c>
      <c r="C48" t="s">
        <v>16</v>
      </c>
      <c r="D48">
        <v>0</v>
      </c>
      <c r="E48">
        <v>8</v>
      </c>
      <c r="F48">
        <v>-20.591278378345699</v>
      </c>
      <c r="G48">
        <v>3084757</v>
      </c>
      <c r="H48">
        <v>3695374.6069752802</v>
      </c>
      <c r="I48">
        <v>117.33883869050084</v>
      </c>
      <c r="J48">
        <v>4.4000000000000004</v>
      </c>
      <c r="K48">
        <v>6.4</v>
      </c>
      <c r="L48">
        <v>1370.475758071904</v>
      </c>
      <c r="M48">
        <v>271.75388886719998</v>
      </c>
      <c r="N48">
        <v>214.68731630175998</v>
      </c>
      <c r="O48">
        <v>574.14948390665597</v>
      </c>
      <c r="P48">
        <v>203.12335295865603</v>
      </c>
      <c r="Q48">
        <v>106.76171603763201</v>
      </c>
      <c r="R48">
        <v>95.184192513932828</v>
      </c>
      <c r="S48">
        <v>184.98131867116896</v>
      </c>
      <c r="T48">
        <v>1090.2980731485291</v>
      </c>
    </row>
    <row r="49" spans="1:20" x14ac:dyDescent="0.35">
      <c r="A49">
        <v>2024</v>
      </c>
      <c r="B49" t="s">
        <v>7</v>
      </c>
      <c r="C49" t="s">
        <v>16</v>
      </c>
      <c r="D49">
        <v>0</v>
      </c>
      <c r="E49">
        <v>9</v>
      </c>
      <c r="F49">
        <v>-18.268148791544402</v>
      </c>
      <c r="G49">
        <v>2885405</v>
      </c>
      <c r="H49">
        <v>3726777.6733548902</v>
      </c>
      <c r="I49">
        <v>118.84026672429981</v>
      </c>
      <c r="J49">
        <v>3.3</v>
      </c>
      <c r="K49">
        <v>3.9</v>
      </c>
      <c r="L49">
        <v>1497.1736789960833</v>
      </c>
      <c r="M49">
        <v>346.54033572364801</v>
      </c>
      <c r="N49">
        <v>208.92456117676801</v>
      </c>
      <c r="O49">
        <v>591.37626220857601</v>
      </c>
      <c r="P49">
        <v>216.95333615737599</v>
      </c>
      <c r="Q49">
        <v>133.37918372971518</v>
      </c>
      <c r="R49">
        <v>102.44067507121953</v>
      </c>
      <c r="S49">
        <v>218.54842637960158</v>
      </c>
      <c r="T49">
        <v>1176.171344485635</v>
      </c>
    </row>
    <row r="50" spans="1:20" x14ac:dyDescent="0.35">
      <c r="A50">
        <v>2024</v>
      </c>
      <c r="B50" t="s">
        <v>7</v>
      </c>
      <c r="C50" t="s">
        <v>16</v>
      </c>
      <c r="D50">
        <v>0</v>
      </c>
      <c r="E50">
        <v>10</v>
      </c>
      <c r="F50">
        <v>-15.6</v>
      </c>
      <c r="G50">
        <v>3008765</v>
      </c>
      <c r="H50">
        <v>3875929.6</v>
      </c>
      <c r="I50">
        <v>120.75541522258656</v>
      </c>
      <c r="J50">
        <v>1.9</v>
      </c>
      <c r="K50">
        <v>1.4</v>
      </c>
      <c r="L50">
        <v>1657.676662062624</v>
      </c>
      <c r="M50">
        <v>325.44314718585599</v>
      </c>
      <c r="N50">
        <v>220.36901692371197</v>
      </c>
      <c r="O50">
        <v>742.60281567999994</v>
      </c>
      <c r="P50">
        <v>220.85954456361603</v>
      </c>
      <c r="Q50">
        <v>148.40213770944001</v>
      </c>
      <c r="R50">
        <v>125.28496055399127</v>
      </c>
      <c r="S50">
        <v>247.1389817991255</v>
      </c>
      <c r="T50">
        <v>1285.2380143472833</v>
      </c>
    </row>
    <row r="51" spans="1:20" x14ac:dyDescent="0.35">
      <c r="A51">
        <v>2024</v>
      </c>
      <c r="B51" t="s">
        <v>8</v>
      </c>
      <c r="C51" t="s">
        <v>16</v>
      </c>
      <c r="D51">
        <v>0</v>
      </c>
      <c r="E51">
        <v>11</v>
      </c>
      <c r="F51">
        <v>-13.376095016245801</v>
      </c>
      <c r="G51">
        <v>3078713</v>
      </c>
      <c r="H51">
        <v>4164471.5449578399</v>
      </c>
      <c r="I51">
        <v>122.87214362052171</v>
      </c>
      <c r="J51">
        <v>2.2999999999999998</v>
      </c>
      <c r="K51">
        <v>2.9</v>
      </c>
      <c r="L51">
        <v>1094.1904293761536</v>
      </c>
      <c r="M51">
        <v>227.86843421555199</v>
      </c>
      <c r="N51">
        <v>156.50912469427197</v>
      </c>
      <c r="O51">
        <v>442.44488765264009</v>
      </c>
      <c r="P51">
        <v>159.3193081224</v>
      </c>
      <c r="Q51">
        <v>108.04867469128961</v>
      </c>
      <c r="R51">
        <v>76.96860401752798</v>
      </c>
      <c r="S51">
        <v>148.36122987081046</v>
      </c>
      <c r="T51">
        <v>868.85096732543968</v>
      </c>
    </row>
    <row r="52" spans="1:20" x14ac:dyDescent="0.35">
      <c r="A52">
        <v>2024</v>
      </c>
      <c r="B52" t="s">
        <v>8</v>
      </c>
      <c r="C52" t="s">
        <v>16</v>
      </c>
      <c r="D52">
        <v>0</v>
      </c>
      <c r="E52">
        <v>12</v>
      </c>
      <c r="F52">
        <v>-11.840268965229001</v>
      </c>
      <c r="G52">
        <v>2808335</v>
      </c>
      <c r="H52">
        <v>4468799.34345196</v>
      </c>
      <c r="I52">
        <v>124.71551870992278</v>
      </c>
      <c r="J52">
        <v>2.5</v>
      </c>
      <c r="K52">
        <v>3.4</v>
      </c>
      <c r="L52">
        <v>1416.7067233471359</v>
      </c>
      <c r="M52">
        <v>292.55052283475203</v>
      </c>
      <c r="N52">
        <v>209.19751140412799</v>
      </c>
      <c r="O52">
        <v>589.62399515609604</v>
      </c>
      <c r="P52">
        <v>200.79105562588799</v>
      </c>
      <c r="Q52">
        <v>124.543638326272</v>
      </c>
      <c r="R52">
        <v>95.11870221722674</v>
      </c>
      <c r="S52">
        <v>201.12417198961199</v>
      </c>
      <c r="T52">
        <v>1120.4514793224234</v>
      </c>
    </row>
    <row r="53" spans="1:20" x14ac:dyDescent="0.35">
      <c r="A53">
        <v>2024</v>
      </c>
      <c r="B53" t="s">
        <v>8</v>
      </c>
      <c r="C53" t="s">
        <v>16</v>
      </c>
      <c r="D53">
        <v>1</v>
      </c>
      <c r="E53">
        <v>13</v>
      </c>
      <c r="F53">
        <v>-11.1</v>
      </c>
      <c r="G53">
        <v>3379818</v>
      </c>
      <c r="H53">
        <v>4628997.5</v>
      </c>
      <c r="I53">
        <v>125.62950026687044</v>
      </c>
      <c r="J53">
        <v>2.9</v>
      </c>
      <c r="K53">
        <v>3.4</v>
      </c>
      <c r="L53">
        <v>1405.4591615051711</v>
      </c>
      <c r="M53">
        <v>286.56364136752001</v>
      </c>
      <c r="N53">
        <v>200.06878497337598</v>
      </c>
      <c r="O53">
        <v>613.03169514899196</v>
      </c>
      <c r="P53">
        <v>185.73818831407999</v>
      </c>
      <c r="Q53">
        <v>120.05685170120319</v>
      </c>
      <c r="R53">
        <v>101.50933943261228</v>
      </c>
      <c r="S53">
        <v>197.98041103754051</v>
      </c>
      <c r="T53">
        <v>1105.9569601065903</v>
      </c>
    </row>
    <row r="54" spans="1:20" x14ac:dyDescent="0.35">
      <c r="A54">
        <v>2025</v>
      </c>
      <c r="B54" t="s">
        <v>5</v>
      </c>
      <c r="C54" t="s">
        <v>15</v>
      </c>
      <c r="D54">
        <v>1</v>
      </c>
      <c r="E54">
        <v>1</v>
      </c>
      <c r="F54">
        <v>-11.198791564366999</v>
      </c>
      <c r="G54">
        <v>2917595</v>
      </c>
      <c r="H54">
        <v>4537896.5982624097</v>
      </c>
      <c r="I54">
        <v>133.08683190384627</v>
      </c>
      <c r="J54">
        <v>2.9</v>
      </c>
      <c r="K54">
        <v>3.8</v>
      </c>
      <c r="L54">
        <v>1486.6240741611425</v>
      </c>
      <c r="M54">
        <v>331.50306969023995</v>
      </c>
      <c r="N54">
        <v>241.40843023017598</v>
      </c>
      <c r="O54">
        <v>572.23906858883197</v>
      </c>
      <c r="P54">
        <v>217.16249068319999</v>
      </c>
      <c r="Q54">
        <v>124.31101496869444</v>
      </c>
      <c r="R54">
        <v>105.42866614072828</v>
      </c>
      <c r="S54">
        <v>208.44758471850099</v>
      </c>
      <c r="T54">
        <v>1172.7347639558395</v>
      </c>
    </row>
    <row r="55" spans="1:20" x14ac:dyDescent="0.35">
      <c r="A55">
        <v>2025</v>
      </c>
      <c r="B55" t="s">
        <v>5</v>
      </c>
      <c r="C55" t="s">
        <v>15</v>
      </c>
      <c r="D55">
        <v>0</v>
      </c>
      <c r="E55">
        <v>2</v>
      </c>
      <c r="F55">
        <v>-11.9242482651684</v>
      </c>
      <c r="G55">
        <v>2715890</v>
      </c>
      <c r="H55">
        <v>4299311.5384708997</v>
      </c>
      <c r="I55">
        <v>131.55989599824306</v>
      </c>
      <c r="J55">
        <v>2.1</v>
      </c>
      <c r="K55">
        <v>2.6</v>
      </c>
      <c r="L55">
        <v>1088.189707681184</v>
      </c>
      <c r="M55">
        <v>231.12318193344004</v>
      </c>
      <c r="N55">
        <v>160.829607463168</v>
      </c>
      <c r="O55">
        <v>456.89011132319996</v>
      </c>
      <c r="P55">
        <v>153.84536350242561</v>
      </c>
      <c r="Q55">
        <v>85.501443458950405</v>
      </c>
      <c r="R55">
        <v>75.088058580724621</v>
      </c>
      <c r="S55">
        <v>150.52735547344759</v>
      </c>
      <c r="T55">
        <v>862.56451304836514</v>
      </c>
    </row>
    <row r="56" spans="1:20" x14ac:dyDescent="0.35">
      <c r="A56">
        <v>2025</v>
      </c>
      <c r="B56" t="s">
        <v>5</v>
      </c>
      <c r="C56" t="s">
        <v>15</v>
      </c>
      <c r="D56">
        <v>0</v>
      </c>
      <c r="E56">
        <v>3</v>
      </c>
      <c r="F56">
        <v>-13</v>
      </c>
      <c r="G56">
        <v>2810175</v>
      </c>
      <c r="H56">
        <v>4069803.3</v>
      </c>
      <c r="I56">
        <v>129.87458521232114</v>
      </c>
      <c r="J56">
        <v>1.8</v>
      </c>
      <c r="K56">
        <v>2.2000000000000002</v>
      </c>
      <c r="L56">
        <v>1582.4152962394978</v>
      </c>
      <c r="M56">
        <v>330.01002554374401</v>
      </c>
      <c r="N56">
        <v>195.85691956723201</v>
      </c>
      <c r="O56">
        <v>658.28105864876807</v>
      </c>
      <c r="P56">
        <v>233.79901220211201</v>
      </c>
      <c r="Q56">
        <v>164.46828027764161</v>
      </c>
      <c r="R56">
        <v>113.35109220850322</v>
      </c>
      <c r="S56">
        <v>238.66005132708725</v>
      </c>
      <c r="T56">
        <v>1230.3900658836997</v>
      </c>
    </row>
    <row r="57" spans="1:20" x14ac:dyDescent="0.35">
      <c r="A57">
        <v>2025</v>
      </c>
      <c r="B57" t="s">
        <v>6</v>
      </c>
      <c r="C57" t="s">
        <v>15</v>
      </c>
      <c r="D57">
        <v>0</v>
      </c>
      <c r="E57">
        <v>4</v>
      </c>
      <c r="F57">
        <v>-14.091701689249</v>
      </c>
      <c r="G57">
        <v>2663701</v>
      </c>
      <c r="H57">
        <v>3967126.3582888301</v>
      </c>
      <c r="I57">
        <v>128.17067712031618</v>
      </c>
      <c r="J57">
        <v>1.4</v>
      </c>
      <c r="K57">
        <v>0.9</v>
      </c>
      <c r="L57">
        <v>1559.2373417544895</v>
      </c>
      <c r="M57">
        <v>362.18052172799997</v>
      </c>
      <c r="N57">
        <v>217.24452996057602</v>
      </c>
      <c r="O57">
        <v>644.22792125683202</v>
      </c>
      <c r="P57">
        <v>198.12228110300802</v>
      </c>
      <c r="Q57">
        <v>137.46208770607359</v>
      </c>
      <c r="R57">
        <v>119.10192549727996</v>
      </c>
      <c r="S57">
        <v>235.55289550964821</v>
      </c>
      <c r="T57">
        <v>1204.5689303668787</v>
      </c>
    </row>
    <row r="58" spans="1:20" x14ac:dyDescent="0.35">
      <c r="A58">
        <v>2025</v>
      </c>
      <c r="B58" t="s">
        <v>6</v>
      </c>
      <c r="C58" t="s">
        <v>15</v>
      </c>
      <c r="D58">
        <v>0</v>
      </c>
      <c r="E58">
        <v>5</v>
      </c>
      <c r="F58">
        <v>-14.633108344467701</v>
      </c>
      <c r="G58">
        <v>2658389</v>
      </c>
      <c r="H58">
        <v>3953809.1730348198</v>
      </c>
      <c r="I58">
        <v>125.98075673467487</v>
      </c>
      <c r="J58">
        <v>1.3</v>
      </c>
      <c r="K58">
        <v>0.9</v>
      </c>
      <c r="L58">
        <v>1239.0939077186688</v>
      </c>
      <c r="M58">
        <v>239.13176723654402</v>
      </c>
      <c r="N58">
        <v>190.20281427008001</v>
      </c>
      <c r="O58">
        <v>520.80939662751996</v>
      </c>
      <c r="P58">
        <v>188.72876941452802</v>
      </c>
      <c r="Q58">
        <v>100.22116016999681</v>
      </c>
      <c r="R58">
        <v>83.576543425227285</v>
      </c>
      <c r="S58">
        <v>171.75692465300554</v>
      </c>
      <c r="T58">
        <v>983.74932819725757</v>
      </c>
    </row>
    <row r="59" spans="1:20" x14ac:dyDescent="0.35">
      <c r="A59">
        <v>2025</v>
      </c>
      <c r="B59" t="s">
        <v>6</v>
      </c>
      <c r="C59" t="s">
        <v>15</v>
      </c>
      <c r="D59">
        <v>0</v>
      </c>
      <c r="E59">
        <v>6</v>
      </c>
      <c r="F59">
        <v>-14</v>
      </c>
      <c r="G59">
        <v>2987425</v>
      </c>
      <c r="H59">
        <v>3953573.7</v>
      </c>
      <c r="I59">
        <v>123.81629511946466</v>
      </c>
      <c r="J59">
        <v>1.4</v>
      </c>
      <c r="K59">
        <v>0.4</v>
      </c>
      <c r="L59">
        <v>1437.7512031913056</v>
      </c>
      <c r="M59">
        <v>314.31330339225599</v>
      </c>
      <c r="N59">
        <v>196.836488667456</v>
      </c>
      <c r="O59">
        <v>577.24841904191999</v>
      </c>
      <c r="P59">
        <v>217.27454934527998</v>
      </c>
      <c r="Q59">
        <v>132.07844274439361</v>
      </c>
      <c r="R59">
        <v>96.179889533861854</v>
      </c>
      <c r="S59">
        <v>203.43741164456091</v>
      </c>
      <c r="T59">
        <v>1138.1213129078646</v>
      </c>
    </row>
    <row r="60" spans="1:20" x14ac:dyDescent="0.35">
      <c r="A60">
        <v>2025</v>
      </c>
      <c r="B60" t="s">
        <v>7</v>
      </c>
      <c r="C60" t="s">
        <v>16</v>
      </c>
      <c r="D60">
        <v>0</v>
      </c>
      <c r="E60">
        <v>7</v>
      </c>
      <c r="F60">
        <v>-11.9206876696874</v>
      </c>
      <c r="G60">
        <v>3218772.90807086</v>
      </c>
      <c r="H60">
        <v>3913198.43955119</v>
      </c>
      <c r="I60">
        <v>122.82171440140424</v>
      </c>
      <c r="J60">
        <v>1.03889240877139</v>
      </c>
      <c r="K60">
        <v>-0.30449940185124302</v>
      </c>
      <c r="L60">
        <v>1320.3610213734721</v>
      </c>
      <c r="M60">
        <v>293.81856949247998</v>
      </c>
      <c r="N60">
        <v>163.97042977641601</v>
      </c>
      <c r="O60">
        <v>536.77765316780801</v>
      </c>
      <c r="P60">
        <v>200.48596856863998</v>
      </c>
      <c r="Q60">
        <v>125.30840036812802</v>
      </c>
      <c r="R60">
        <v>91.795502278986518</v>
      </c>
      <c r="S60">
        <v>182.37602220629844</v>
      </c>
      <c r="T60">
        <v>1046.177577624014</v>
      </c>
    </row>
    <row r="61" spans="1:20" x14ac:dyDescent="0.35">
      <c r="A61">
        <v>2025</v>
      </c>
      <c r="B61" t="s">
        <v>7</v>
      </c>
      <c r="C61" t="s">
        <v>16</v>
      </c>
      <c r="D61">
        <v>0</v>
      </c>
      <c r="E61">
        <v>8</v>
      </c>
      <c r="F61">
        <v>-9.5336062853626906</v>
      </c>
      <c r="G61">
        <v>3178668</v>
      </c>
      <c r="H61">
        <v>3871688.0704743802</v>
      </c>
      <c r="I61">
        <v>123.08825030038393</v>
      </c>
      <c r="J61">
        <v>0.9</v>
      </c>
      <c r="K61">
        <v>-0.2</v>
      </c>
      <c r="L61">
        <v>1617.1972491123231</v>
      </c>
      <c r="M61">
        <v>354.82928952672</v>
      </c>
      <c r="N61">
        <v>242.92706588409598</v>
      </c>
      <c r="O61">
        <v>695.66578884924797</v>
      </c>
      <c r="P61">
        <v>193.13006680553599</v>
      </c>
      <c r="Q61">
        <v>130.64503804672319</v>
      </c>
      <c r="R61">
        <v>112.60833368792538</v>
      </c>
      <c r="S61">
        <v>225.67683883578445</v>
      </c>
      <c r="T61">
        <v>1278.8977462053272</v>
      </c>
    </row>
    <row r="62" spans="1:20" x14ac:dyDescent="0.35">
      <c r="A62">
        <v>2025</v>
      </c>
      <c r="B62" t="s">
        <v>7</v>
      </c>
      <c r="C62" t="s">
        <v>16</v>
      </c>
      <c r="D62">
        <v>0</v>
      </c>
      <c r="E62">
        <v>9</v>
      </c>
      <c r="F62">
        <v>-8.3297217583566692</v>
      </c>
      <c r="G62">
        <v>2977302</v>
      </c>
      <c r="H62">
        <v>3891103.8161603902</v>
      </c>
      <c r="I62">
        <v>124.09837428153345</v>
      </c>
      <c r="J62">
        <v>1.5</v>
      </c>
      <c r="K62">
        <v>0.9</v>
      </c>
      <c r="L62">
        <v>1365.3971750972094</v>
      </c>
      <c r="M62">
        <v>250.7327443872</v>
      </c>
      <c r="N62">
        <v>184.774117686144</v>
      </c>
      <c r="O62">
        <v>589.5096080257598</v>
      </c>
      <c r="P62">
        <v>214.63260180678398</v>
      </c>
      <c r="Q62">
        <v>125.74810319132159</v>
      </c>
      <c r="R62">
        <v>102.20438686086341</v>
      </c>
      <c r="S62">
        <v>184.42074132072727</v>
      </c>
      <c r="T62">
        <v>1078.7596877835438</v>
      </c>
    </row>
    <row r="63" spans="1:20" x14ac:dyDescent="0.35">
      <c r="A63">
        <v>2025</v>
      </c>
      <c r="B63" t="s">
        <v>7</v>
      </c>
      <c r="C63" t="s">
        <v>16</v>
      </c>
      <c r="D63">
        <v>0</v>
      </c>
      <c r="E63">
        <v>10</v>
      </c>
      <c r="F63">
        <v>-9.8000000000000007</v>
      </c>
      <c r="G63">
        <v>3121183</v>
      </c>
      <c r="H63">
        <v>4033506.9</v>
      </c>
      <c r="I63">
        <v>125.46487641626744</v>
      </c>
      <c r="J63">
        <v>1.7</v>
      </c>
      <c r="K63">
        <v>1</v>
      </c>
      <c r="L63">
        <v>1311.9400955447873</v>
      </c>
      <c r="M63">
        <v>290.86345289343996</v>
      </c>
      <c r="N63">
        <v>217.58138049920001</v>
      </c>
      <c r="O63">
        <v>500.11294811792004</v>
      </c>
      <c r="P63">
        <v>192.38454032832001</v>
      </c>
      <c r="Q63">
        <v>110.99777370590721</v>
      </c>
      <c r="R63">
        <v>88.949917840585442</v>
      </c>
      <c r="S63">
        <v>177.3972254259111</v>
      </c>
      <c r="T63">
        <v>1045.5814443981692</v>
      </c>
    </row>
    <row r="64" spans="1:20" x14ac:dyDescent="0.35">
      <c r="A64">
        <v>2025</v>
      </c>
      <c r="B64" t="s">
        <v>8</v>
      </c>
      <c r="C64" t="s">
        <v>16</v>
      </c>
      <c r="D64">
        <v>0</v>
      </c>
      <c r="E64">
        <v>11</v>
      </c>
      <c r="F64">
        <v>-14.5848339419888</v>
      </c>
      <c r="G64">
        <v>3171273</v>
      </c>
      <c r="H64">
        <v>4323308.4189266702</v>
      </c>
      <c r="I64">
        <v>127.04254852192985</v>
      </c>
      <c r="J64">
        <v>1.7</v>
      </c>
      <c r="K64">
        <v>0.5</v>
      </c>
      <c r="L64">
        <v>1510.9053369863936</v>
      </c>
      <c r="M64">
        <v>322.22392529232008</v>
      </c>
      <c r="N64">
        <v>230.25212738985599</v>
      </c>
      <c r="O64">
        <v>606.52269390399999</v>
      </c>
      <c r="P64">
        <v>209.470100908288</v>
      </c>
      <c r="Q64">
        <v>142.43648949192959</v>
      </c>
      <c r="R64">
        <v>108.24812101540434</v>
      </c>
      <c r="S64">
        <v>215.5716326766393</v>
      </c>
      <c r="T64">
        <v>1187.0722611905749</v>
      </c>
    </row>
    <row r="65" spans="1:20" x14ac:dyDescent="0.35">
      <c r="A65">
        <v>2025</v>
      </c>
      <c r="B65" t="s">
        <v>8</v>
      </c>
      <c r="C65" t="s">
        <v>16</v>
      </c>
      <c r="D65">
        <v>0</v>
      </c>
      <c r="E65">
        <v>12</v>
      </c>
      <c r="F65">
        <v>-19.922324597481001</v>
      </c>
      <c r="G65">
        <v>2909687</v>
      </c>
      <c r="H65">
        <v>4634318.9640444396</v>
      </c>
      <c r="I65">
        <v>128.51062156469388</v>
      </c>
      <c r="J65">
        <v>1.5</v>
      </c>
      <c r="K65">
        <v>0.1</v>
      </c>
      <c r="L65">
        <v>1177.6217438936096</v>
      </c>
      <c r="M65">
        <v>257.32294622812799</v>
      </c>
      <c r="N65">
        <v>192.40614764799997</v>
      </c>
      <c r="O65">
        <v>481.45832819151997</v>
      </c>
      <c r="P65">
        <v>158.89106673780159</v>
      </c>
      <c r="Q65">
        <v>87.543255088160009</v>
      </c>
      <c r="R65">
        <v>80.130459134005719</v>
      </c>
      <c r="S65">
        <v>155.71808908876073</v>
      </c>
      <c r="T65">
        <v>941.76292010592397</v>
      </c>
    </row>
    <row r="66" spans="1:20" x14ac:dyDescent="0.35">
      <c r="A66">
        <v>2025</v>
      </c>
      <c r="B66" t="s">
        <v>8</v>
      </c>
      <c r="C66" t="s">
        <v>16</v>
      </c>
      <c r="D66">
        <v>1</v>
      </c>
      <c r="E66">
        <v>13</v>
      </c>
      <c r="F66">
        <v>-22.2</v>
      </c>
      <c r="G66">
        <v>2986749.2072009798</v>
      </c>
      <c r="H66">
        <v>4802699</v>
      </c>
      <c r="I66">
        <v>129.39838527487655</v>
      </c>
      <c r="J66">
        <v>1.8</v>
      </c>
      <c r="K66">
        <v>1.4</v>
      </c>
      <c r="L66">
        <v>1403.5878677005567</v>
      </c>
      <c r="M66">
        <v>306.97418066879999</v>
      </c>
      <c r="N66">
        <v>178.11306259427201</v>
      </c>
      <c r="O66">
        <v>601.54879171977598</v>
      </c>
      <c r="P66">
        <v>202.63833175839997</v>
      </c>
      <c r="Q66">
        <v>114.31350095930878</v>
      </c>
      <c r="R66">
        <v>96.478461011533824</v>
      </c>
      <c r="S66">
        <v>196.12202377835931</v>
      </c>
      <c r="T66">
        <v>1110.9749816538517</v>
      </c>
    </row>
    <row r="67" spans="1:20" x14ac:dyDescent="0.35">
      <c r="A67">
        <v>2026</v>
      </c>
      <c r="B67" t="s">
        <v>5</v>
      </c>
      <c r="C67" t="s">
        <v>15</v>
      </c>
      <c r="D67">
        <v>1</v>
      </c>
      <c r="E67">
        <v>1</v>
      </c>
      <c r="F67">
        <v>-19.007261700663499</v>
      </c>
      <c r="G67">
        <v>2749588.5064737401</v>
      </c>
      <c r="H67">
        <v>4717915.7803526204</v>
      </c>
      <c r="I67">
        <v>137.54984379722205</v>
      </c>
      <c r="J67">
        <v>2</v>
      </c>
      <c r="K67">
        <v>1.1000000000000001</v>
      </c>
    </row>
    <row r="68" spans="1:20" x14ac:dyDescent="0.35">
      <c r="A68">
        <v>2026</v>
      </c>
      <c r="B68" t="s">
        <v>5</v>
      </c>
      <c r="C68" t="s">
        <v>15</v>
      </c>
      <c r="D68">
        <v>0</v>
      </c>
      <c r="E68">
        <v>2</v>
      </c>
      <c r="F68">
        <v>-12.741005320966799</v>
      </c>
      <c r="G68">
        <v>2879509.3221553699</v>
      </c>
      <c r="H68">
        <v>4482663.7143118903</v>
      </c>
      <c r="I68">
        <v>136.73304803306715</v>
      </c>
      <c r="J68">
        <v>2.1211195266246099</v>
      </c>
      <c r="K68">
        <v>1.0683169050293</v>
      </c>
    </row>
    <row r="69" spans="1:20" x14ac:dyDescent="0.35">
      <c r="A69">
        <v>2026</v>
      </c>
      <c r="B69" t="s">
        <v>5</v>
      </c>
      <c r="C69" t="s">
        <v>15</v>
      </c>
      <c r="D69">
        <v>0</v>
      </c>
      <c r="E69">
        <v>3</v>
      </c>
      <c r="F69">
        <v>-7</v>
      </c>
      <c r="G69">
        <v>2662239.0869980501</v>
      </c>
      <c r="H69">
        <v>4252944</v>
      </c>
      <c r="I69">
        <v>135.71894154687558</v>
      </c>
      <c r="J69">
        <v>2.2000000000000002</v>
      </c>
      <c r="K69">
        <v>1.5</v>
      </c>
    </row>
    <row r="70" spans="1:20" x14ac:dyDescent="0.35">
      <c r="A70">
        <v>2026</v>
      </c>
      <c r="B70" t="s">
        <v>6</v>
      </c>
      <c r="C70" t="s">
        <v>15</v>
      </c>
      <c r="D70">
        <v>0</v>
      </c>
      <c r="E70">
        <v>4</v>
      </c>
      <c r="F70">
        <v>-4.4972303664684601</v>
      </c>
      <c r="G70">
        <v>2765956.4994123601</v>
      </c>
      <c r="H70">
        <v>4147801.1337369401</v>
      </c>
      <c r="I70">
        <v>134.41713355466069</v>
      </c>
      <c r="J70">
        <v>2.2162760486378699</v>
      </c>
      <c r="K70">
        <v>1.80681672687687</v>
      </c>
    </row>
    <row r="71" spans="1:20" x14ac:dyDescent="0.35">
      <c r="A71">
        <v>2026</v>
      </c>
      <c r="B71" t="s">
        <v>6</v>
      </c>
      <c r="C71" t="s">
        <v>15</v>
      </c>
      <c r="D71">
        <v>0</v>
      </c>
      <c r="E71">
        <v>5</v>
      </c>
      <c r="F71">
        <v>-4.4025430075404897</v>
      </c>
      <c r="G71">
        <v>2964611.4888023399</v>
      </c>
      <c r="H71">
        <v>4138452.8046339299</v>
      </c>
      <c r="I71">
        <v>132.38081172841865</v>
      </c>
      <c r="J71">
        <v>2.20145209263866</v>
      </c>
      <c r="K71">
        <v>1.94337668192864</v>
      </c>
    </row>
    <row r="72" spans="1:20" x14ac:dyDescent="0.35">
      <c r="A72">
        <v>2026</v>
      </c>
      <c r="B72" t="s">
        <v>6</v>
      </c>
      <c r="C72" t="s">
        <v>15</v>
      </c>
      <c r="D72">
        <v>0</v>
      </c>
      <c r="E72">
        <v>6</v>
      </c>
      <c r="F72">
        <v>-5</v>
      </c>
      <c r="G72">
        <v>3140136.7186161098</v>
      </c>
      <c r="H72">
        <v>4159160</v>
      </c>
      <c r="I72">
        <v>130.25474246567683</v>
      </c>
      <c r="J72">
        <v>2.2000000000000002</v>
      </c>
      <c r="K72">
        <v>2</v>
      </c>
    </row>
    <row r="73" spans="1:20" x14ac:dyDescent="0.35">
      <c r="A73">
        <v>2026</v>
      </c>
      <c r="B73" t="s">
        <v>7</v>
      </c>
      <c r="C73" t="s">
        <v>16</v>
      </c>
      <c r="D73">
        <v>0</v>
      </c>
      <c r="E73">
        <v>7</v>
      </c>
      <c r="F73">
        <v>-4.9175304047029398</v>
      </c>
      <c r="G73">
        <v>3198026.0533558</v>
      </c>
      <c r="H73">
        <v>4160239.74195144</v>
      </c>
      <c r="I73">
        <v>129.32980885585295</v>
      </c>
      <c r="J73">
        <v>2.24518308211008</v>
      </c>
      <c r="K73">
        <v>2.05242041594542</v>
      </c>
    </row>
    <row r="74" spans="1:20" x14ac:dyDescent="0.35">
      <c r="A74">
        <v>2026</v>
      </c>
      <c r="B74" t="s">
        <v>7</v>
      </c>
      <c r="C74" t="s">
        <v>16</v>
      </c>
      <c r="D74">
        <v>0</v>
      </c>
      <c r="E74">
        <v>8</v>
      </c>
      <c r="F74">
        <v>-4.1585312187932804</v>
      </c>
      <c r="G74">
        <v>3010594.0194309698</v>
      </c>
      <c r="H74">
        <v>4156233.1918335399</v>
      </c>
      <c r="I74">
        <v>129.71705300323578</v>
      </c>
      <c r="J74">
        <v>2.3254304239193901</v>
      </c>
      <c r="K74">
        <v>2.1180260646583902</v>
      </c>
    </row>
    <row r="75" spans="1:20" x14ac:dyDescent="0.35">
      <c r="A75">
        <v>2026</v>
      </c>
      <c r="B75" t="s">
        <v>7</v>
      </c>
      <c r="C75" t="s">
        <v>16</v>
      </c>
      <c r="D75">
        <v>0</v>
      </c>
      <c r="E75">
        <v>9</v>
      </c>
      <c r="F75">
        <v>-3.0702664234869799</v>
      </c>
      <c r="G75">
        <v>3058174.2335274201</v>
      </c>
      <c r="H75">
        <v>4177737.54579888</v>
      </c>
      <c r="I75">
        <v>130.86706648293998</v>
      </c>
      <c r="J75">
        <v>2.4179625537690002</v>
      </c>
      <c r="K75">
        <v>2.1996186810421698</v>
      </c>
    </row>
    <row r="76" spans="1:20" x14ac:dyDescent="0.35">
      <c r="A76">
        <v>2026</v>
      </c>
      <c r="B76" t="s">
        <v>7</v>
      </c>
      <c r="C76" t="s">
        <v>16</v>
      </c>
      <c r="D76">
        <v>0</v>
      </c>
      <c r="E76">
        <v>10</v>
      </c>
      <c r="F76">
        <v>-2</v>
      </c>
      <c r="G76">
        <v>3206731.0054846299</v>
      </c>
      <c r="H76">
        <v>4255350</v>
      </c>
      <c r="I76">
        <v>132.36544461916216</v>
      </c>
      <c r="J76">
        <v>2.5</v>
      </c>
      <c r="K76">
        <v>2.2999999999999998</v>
      </c>
    </row>
    <row r="77" spans="1:20" x14ac:dyDescent="0.35">
      <c r="A77">
        <v>2026</v>
      </c>
      <c r="B77" t="s">
        <v>8</v>
      </c>
      <c r="C77" t="s">
        <v>16</v>
      </c>
      <c r="D77">
        <v>0</v>
      </c>
      <c r="E77">
        <v>11</v>
      </c>
      <c r="F77">
        <v>-1.2442614564885099</v>
      </c>
      <c r="G77">
        <v>2862400.84404981</v>
      </c>
      <c r="H77">
        <v>4417298.82742118</v>
      </c>
      <c r="I77">
        <v>134.05420756241878</v>
      </c>
      <c r="J77">
        <v>2.55041701242041</v>
      </c>
      <c r="K77">
        <v>2.42412384823698</v>
      </c>
    </row>
    <row r="78" spans="1:20" x14ac:dyDescent="0.35">
      <c r="A78">
        <v>2026</v>
      </c>
      <c r="B78" t="s">
        <v>8</v>
      </c>
      <c r="C78" t="s">
        <v>16</v>
      </c>
      <c r="D78">
        <v>0</v>
      </c>
      <c r="E78">
        <v>12</v>
      </c>
      <c r="F78">
        <v>-0.896642408869467</v>
      </c>
      <c r="G78">
        <v>3388056.1755375499</v>
      </c>
      <c r="H78">
        <v>4682336.60837356</v>
      </c>
      <c r="I78">
        <v>135.60024586884649</v>
      </c>
      <c r="J78">
        <v>2.55470272670612</v>
      </c>
      <c r="K78">
        <v>2.5855524196655502</v>
      </c>
    </row>
    <row r="79" spans="1:20" x14ac:dyDescent="0.35">
      <c r="A79">
        <v>2026</v>
      </c>
      <c r="B79" t="s">
        <v>8</v>
      </c>
      <c r="C79" t="s">
        <v>16</v>
      </c>
      <c r="D79">
        <v>1</v>
      </c>
      <c r="E79">
        <v>13</v>
      </c>
      <c r="F79">
        <v>-1</v>
      </c>
      <c r="G79">
        <v>3057053.80152264</v>
      </c>
      <c r="H79">
        <v>5066847</v>
      </c>
      <c r="I79">
        <v>136.51529646499475</v>
      </c>
      <c r="J79">
        <v>2.5</v>
      </c>
      <c r="K79">
        <v>2.8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D8B3-851A-40DE-86BD-57624BC10642}">
  <dimension ref="A1:F7"/>
  <sheetViews>
    <sheetView workbookViewId="0">
      <selection activeCell="F4" sqref="F4"/>
    </sheetView>
  </sheetViews>
  <sheetFormatPr defaultRowHeight="14.5" x14ac:dyDescent="0.35"/>
  <cols>
    <col min="1" max="1" width="18.81640625" bestFit="1" customWidth="1"/>
    <col min="2" max="2" width="12.7265625" bestFit="1" customWidth="1"/>
    <col min="3" max="3" width="15.81640625" bestFit="1" customWidth="1"/>
    <col min="4" max="4" width="10.54296875" bestFit="1" customWidth="1"/>
    <col min="5" max="5" width="16.7265625" bestFit="1" customWidth="1"/>
    <col min="6" max="6" width="12" bestFit="1" customWidth="1"/>
  </cols>
  <sheetData>
    <row r="1" spans="1:6" x14ac:dyDescent="0.35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5">
      <c r="A2" t="s">
        <v>2</v>
      </c>
      <c r="B2">
        <f>F2*-1</f>
        <v>-10</v>
      </c>
      <c r="C2">
        <f>B2/2</f>
        <v>-5</v>
      </c>
      <c r="D2">
        <v>0</v>
      </c>
      <c r="E2">
        <f>F2/2</f>
        <v>5</v>
      </c>
      <c r="F2">
        <v>10</v>
      </c>
    </row>
    <row r="3" spans="1:6" x14ac:dyDescent="0.35">
      <c r="A3" t="s">
        <v>33</v>
      </c>
      <c r="B3">
        <f t="shared" ref="B3:B7" si="0">F3*-1</f>
        <v>-40000</v>
      </c>
      <c r="C3">
        <f t="shared" ref="C3:C7" si="1">B3/2</f>
        <v>-20000</v>
      </c>
      <c r="D3">
        <v>0</v>
      </c>
      <c r="E3">
        <f t="shared" ref="E3:E7" si="2">F3/2</f>
        <v>20000</v>
      </c>
      <c r="F3">
        <v>40000</v>
      </c>
    </row>
    <row r="4" spans="1:6" x14ac:dyDescent="0.35">
      <c r="A4" t="s">
        <v>3</v>
      </c>
      <c r="B4">
        <f t="shared" si="0"/>
        <v>-500000</v>
      </c>
      <c r="C4">
        <f t="shared" si="1"/>
        <v>-250000</v>
      </c>
      <c r="D4">
        <v>0</v>
      </c>
      <c r="E4">
        <f t="shared" si="2"/>
        <v>250000</v>
      </c>
      <c r="F4">
        <v>500000</v>
      </c>
    </row>
    <row r="5" spans="1:6" x14ac:dyDescent="0.35">
      <c r="A5" t="s">
        <v>28</v>
      </c>
      <c r="B5">
        <f t="shared" si="0"/>
        <v>-2</v>
      </c>
      <c r="C5">
        <f t="shared" si="1"/>
        <v>-1</v>
      </c>
      <c r="D5">
        <v>0</v>
      </c>
      <c r="E5">
        <f t="shared" si="2"/>
        <v>1</v>
      </c>
      <c r="F5">
        <v>2</v>
      </c>
    </row>
    <row r="6" spans="1:6" x14ac:dyDescent="0.35">
      <c r="A6" t="s">
        <v>19</v>
      </c>
      <c r="B6">
        <f t="shared" si="0"/>
        <v>-1</v>
      </c>
      <c r="C6">
        <f t="shared" si="1"/>
        <v>-0.5</v>
      </c>
      <c r="D6">
        <v>0</v>
      </c>
      <c r="E6">
        <f t="shared" si="2"/>
        <v>0.5</v>
      </c>
      <c r="F6">
        <v>1</v>
      </c>
    </row>
    <row r="7" spans="1:6" x14ac:dyDescent="0.35">
      <c r="A7" t="s">
        <v>20</v>
      </c>
      <c r="B7">
        <f t="shared" si="0"/>
        <v>-2</v>
      </c>
      <c r="C7">
        <f t="shared" si="1"/>
        <v>-1</v>
      </c>
      <c r="D7">
        <v>0</v>
      </c>
      <c r="E7">
        <f t="shared" si="2"/>
        <v>1</v>
      </c>
      <c r="F7">
        <v>2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</vt:lpstr>
      <vt:lpstr>PH_Input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Chia Hong (KWPSNG)</dc:creator>
  <cp:lastModifiedBy>Chia Hong Lee</cp:lastModifiedBy>
  <dcterms:created xsi:type="dcterms:W3CDTF">2020-10-06T05:03:15Z</dcterms:created>
  <dcterms:modified xsi:type="dcterms:W3CDTF">2026-02-25T02:09:08Z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2023-12-12T09:01:55Z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329e91a6-5896-443b-aa23-403251f2a744</vt:lpwstr>
  </property>
  <property fmtid="{D5CDD505-2E9C-101B-9397-08002B2CF9AE}" pid="8" name="MSIP_Label_3741da7a-79c1-417c-b408-16c0bfe99fca_ContentBits">
    <vt:lpwstr>0</vt:lpwstr>
  </property>
</Properties>
</file>